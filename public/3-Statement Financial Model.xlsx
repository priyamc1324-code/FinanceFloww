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yamc/Desktop/"/>
    </mc:Choice>
  </mc:AlternateContent>
  <xr:revisionPtr revIDLastSave="0" documentId="8_{FAC4220B-4D19-AE44-9107-21AAA1E5FEAF}" xr6:coauthVersionLast="47" xr6:coauthVersionMax="47" xr10:uidLastSave="{00000000-0000-0000-0000-000000000000}"/>
  <bookViews>
    <workbookView xWindow="0" yWindow="720" windowWidth="29400" windowHeight="18400" activeTab="3" xr2:uid="{12026A88-1609-2344-8344-DF9929B19277}"/>
  </bookViews>
  <sheets>
    <sheet name="Cover" sheetId="5" r:id="rId1"/>
    <sheet name="Output" sheetId="3" r:id="rId2"/>
    <sheet name="Inputs" sheetId="1" r:id="rId3"/>
    <sheet name="Model" sheetId="2" r:id="rId4"/>
  </sheets>
  <definedNames>
    <definedName name="_xlchart.v1.1" hidden="1">Output!$H$25:$O$25</definedName>
    <definedName name="_xlchart.v2.0" hidden="1">Output!$H$25:$O$25</definedName>
  </definedNames>
  <calcPr calcId="18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4" i="2" l="1"/>
  <c r="E7" i="3"/>
  <c r="I22" i="3"/>
  <c r="J22" i="3"/>
  <c r="I23" i="3"/>
  <c r="J23" i="3"/>
  <c r="I24" i="3"/>
  <c r="J24" i="3"/>
  <c r="H24" i="3"/>
  <c r="H23" i="3"/>
  <c r="H22" i="3"/>
  <c r="I16" i="3"/>
  <c r="J16" i="3"/>
  <c r="H16" i="3"/>
  <c r="I13" i="3"/>
  <c r="J13" i="3"/>
  <c r="H13" i="3"/>
  <c r="I11" i="3"/>
  <c r="J11" i="3"/>
  <c r="H11" i="3"/>
  <c r="I69" i="2"/>
  <c r="J63" i="2"/>
  <c r="J393" i="2" s="1"/>
  <c r="K63" i="2"/>
  <c r="K393" i="2" s="1"/>
  <c r="L63" i="2"/>
  <c r="L393" i="2" s="1"/>
  <c r="M63" i="2"/>
  <c r="M393" i="2" s="1"/>
  <c r="I63" i="2"/>
  <c r="J61" i="2"/>
  <c r="K61" i="2"/>
  <c r="L61" i="2"/>
  <c r="L392" i="2" s="1"/>
  <c r="M61" i="2"/>
  <c r="M392" i="2" s="1"/>
  <c r="I61" i="2"/>
  <c r="I392" i="2" s="1"/>
  <c r="H443" i="2"/>
  <c r="I440" i="2" s="1"/>
  <c r="M432" i="2"/>
  <c r="L432" i="2"/>
  <c r="K432" i="2"/>
  <c r="J432" i="2"/>
  <c r="I432" i="2"/>
  <c r="M428" i="2"/>
  <c r="L428" i="2"/>
  <c r="K428" i="2"/>
  <c r="J428" i="2"/>
  <c r="I428" i="2"/>
  <c r="H429" i="2"/>
  <c r="I427" i="2" s="1"/>
  <c r="I429" i="2" s="1"/>
  <c r="I421" i="2"/>
  <c r="J406" i="2"/>
  <c r="K406" i="2"/>
  <c r="L406" i="2"/>
  <c r="M406" i="2"/>
  <c r="I406" i="2"/>
  <c r="H404" i="2"/>
  <c r="I402" i="2" s="1"/>
  <c r="K392" i="2"/>
  <c r="J392" i="2"/>
  <c r="I393" i="2"/>
  <c r="I383" i="2"/>
  <c r="J374" i="2"/>
  <c r="K374" i="2"/>
  <c r="L374" i="2"/>
  <c r="M374" i="2"/>
  <c r="I374" i="2"/>
  <c r="M371" i="2"/>
  <c r="L371" i="2"/>
  <c r="K371" i="2"/>
  <c r="J371" i="2"/>
  <c r="I371" i="2"/>
  <c r="H372" i="2"/>
  <c r="I370" i="2" s="1"/>
  <c r="J362" i="2"/>
  <c r="K362" i="2"/>
  <c r="L362" i="2"/>
  <c r="M362" i="2"/>
  <c r="I362" i="2"/>
  <c r="I358" i="2"/>
  <c r="I389" i="2" s="1"/>
  <c r="H360" i="2"/>
  <c r="I352" i="2"/>
  <c r="I17" i="2"/>
  <c r="J17" i="2" s="1"/>
  <c r="K17" i="2" s="1"/>
  <c r="L17" i="2" s="1"/>
  <c r="M17" i="2" s="1"/>
  <c r="I16" i="2"/>
  <c r="J16" i="2" s="1"/>
  <c r="K16" i="2" s="1"/>
  <c r="L16" i="2" s="1"/>
  <c r="M16" i="2" s="1"/>
  <c r="I332" i="2"/>
  <c r="H335" i="2"/>
  <c r="D316" i="2"/>
  <c r="I310" i="2"/>
  <c r="I298" i="2"/>
  <c r="H301" i="2"/>
  <c r="H294" i="2"/>
  <c r="I291" i="2" s="1"/>
  <c r="D287" i="2"/>
  <c r="D286" i="2"/>
  <c r="I281" i="2"/>
  <c r="I250" i="2"/>
  <c r="J250" i="2" s="1"/>
  <c r="D250" i="2"/>
  <c r="G250" i="2" s="1"/>
  <c r="G252" i="2"/>
  <c r="G251" i="2"/>
  <c r="D251" i="2"/>
  <c r="D244" i="2"/>
  <c r="I245" i="2" s="1"/>
  <c r="D245" i="2"/>
  <c r="I237" i="2"/>
  <c r="I258" i="2" s="1"/>
  <c r="H218" i="2"/>
  <c r="H219" i="2"/>
  <c r="I212" i="2"/>
  <c r="M214" i="2"/>
  <c r="L214" i="2"/>
  <c r="K214" i="2"/>
  <c r="J214" i="2"/>
  <c r="I214" i="2"/>
  <c r="M213" i="2"/>
  <c r="L213" i="2"/>
  <c r="K213" i="2"/>
  <c r="J213" i="2"/>
  <c r="I213" i="2"/>
  <c r="M212" i="2"/>
  <c r="L212" i="2"/>
  <c r="K212" i="2"/>
  <c r="J212" i="2"/>
  <c r="H207" i="2"/>
  <c r="H220" i="2"/>
  <c r="G220" i="2"/>
  <c r="H228" i="2" s="1"/>
  <c r="G219" i="2"/>
  <c r="H227" i="2" s="1"/>
  <c r="G218" i="2"/>
  <c r="F220" i="2"/>
  <c r="G228" i="2" s="1"/>
  <c r="F219" i="2"/>
  <c r="G227" i="2" s="1"/>
  <c r="F218" i="2"/>
  <c r="H208" i="2"/>
  <c r="G208" i="2"/>
  <c r="G207" i="2"/>
  <c r="M206" i="2"/>
  <c r="L206" i="2"/>
  <c r="K206" i="2"/>
  <c r="J206" i="2"/>
  <c r="I206" i="2"/>
  <c r="H206" i="2"/>
  <c r="G206" i="2"/>
  <c r="F206" i="2"/>
  <c r="F207" i="2"/>
  <c r="F208" i="2"/>
  <c r="I203" i="2"/>
  <c r="H196" i="2"/>
  <c r="H191" i="2"/>
  <c r="G191" i="2"/>
  <c r="F191" i="2"/>
  <c r="G186" i="2"/>
  <c r="G196" i="2" s="1"/>
  <c r="H186" i="2"/>
  <c r="F186" i="2"/>
  <c r="F196" i="2" s="1"/>
  <c r="H181" i="2"/>
  <c r="H180" i="2"/>
  <c r="G174" i="2"/>
  <c r="H174" i="2"/>
  <c r="M165" i="2"/>
  <c r="L165" i="2"/>
  <c r="K165" i="2"/>
  <c r="J165" i="2"/>
  <c r="I165" i="2"/>
  <c r="I185" i="2" s="1"/>
  <c r="J185" i="2" s="1"/>
  <c r="H165" i="2"/>
  <c r="G165" i="2"/>
  <c r="F165" i="2"/>
  <c r="H164" i="2"/>
  <c r="H173" i="2" s="1"/>
  <c r="G164" i="2"/>
  <c r="G181" i="2" s="1"/>
  <c r="I161" i="2"/>
  <c r="I136" i="2"/>
  <c r="J136" i="2"/>
  <c r="K136" i="2"/>
  <c r="L136" i="2"/>
  <c r="M136" i="2"/>
  <c r="J129" i="2"/>
  <c r="K129" i="2"/>
  <c r="L129" i="2"/>
  <c r="M129" i="2"/>
  <c r="I129" i="2"/>
  <c r="F130" i="2"/>
  <c r="F155" i="2" s="1"/>
  <c r="G151" i="2"/>
  <c r="H151" i="2"/>
  <c r="F150" i="2"/>
  <c r="H143" i="2"/>
  <c r="G143" i="2"/>
  <c r="G137" i="2"/>
  <c r="G138" i="2" s="1"/>
  <c r="H137" i="2"/>
  <c r="H138" i="2" s="1"/>
  <c r="F137" i="2"/>
  <c r="F138" i="2" s="1"/>
  <c r="F149" i="2" s="1"/>
  <c r="G130" i="2"/>
  <c r="G155" i="2" s="1"/>
  <c r="H130" i="2"/>
  <c r="H155" i="2" s="1"/>
  <c r="G126" i="2"/>
  <c r="I120" i="2"/>
  <c r="H114" i="2"/>
  <c r="G114" i="2"/>
  <c r="I77" i="2"/>
  <c r="I41" i="2"/>
  <c r="M8" i="2"/>
  <c r="L8" i="2"/>
  <c r="K8" i="2"/>
  <c r="J8" i="2"/>
  <c r="I8" i="2"/>
  <c r="B6" i="2" a="1"/>
  <c r="B6" i="2" s="1"/>
  <c r="B42" i="2" s="1"/>
  <c r="H5" i="2"/>
  <c r="H310" i="2" s="1"/>
  <c r="J5" i="2"/>
  <c r="J352" i="2" s="1"/>
  <c r="I5" i="2"/>
  <c r="L24" i="1" a="1"/>
  <c r="L24" i="1" s="1"/>
  <c r="M240" i="2" s="1"/>
  <c r="K24" i="1" a="1"/>
  <c r="K24" i="1" s="1"/>
  <c r="L240" i="2" s="1"/>
  <c r="J24" i="1" a="1"/>
  <c r="J24" i="1" s="1"/>
  <c r="K240" i="2" s="1"/>
  <c r="I24" i="1" a="1"/>
  <c r="I24" i="1" s="1"/>
  <c r="J240" i="2" s="1"/>
  <c r="H24" i="1" a="1"/>
  <c r="H24" i="1" s="1"/>
  <c r="I240" i="2" s="1"/>
  <c r="L17" i="1" a="1"/>
  <c r="L17" i="1" s="1"/>
  <c r="M143" i="2" s="1"/>
  <c r="K17" i="1" a="1"/>
  <c r="K17" i="1" s="1"/>
  <c r="L143" i="2" s="1"/>
  <c r="J17" i="1" a="1"/>
  <c r="J17" i="1" s="1"/>
  <c r="K143" i="2" s="1"/>
  <c r="I17" i="1" a="1"/>
  <c r="I17" i="1" s="1"/>
  <c r="J143" i="2" s="1"/>
  <c r="H17" i="1" a="1"/>
  <c r="H17" i="1" s="1"/>
  <c r="I143" i="2" s="1"/>
  <c r="I144" i="2" s="1"/>
  <c r="L10" i="1" a="1"/>
  <c r="L10" i="1" s="1"/>
  <c r="M126" i="2" s="1"/>
  <c r="K10" i="1" a="1"/>
  <c r="K10" i="1" s="1"/>
  <c r="L126" i="2" s="1"/>
  <c r="J10" i="1" a="1"/>
  <c r="J10" i="1" s="1"/>
  <c r="K126" i="2" s="1"/>
  <c r="I10" i="1" a="1"/>
  <c r="I10" i="1" s="1"/>
  <c r="J126" i="2" s="1"/>
  <c r="H10" i="1" a="1"/>
  <c r="H10" i="1" s="1"/>
  <c r="I126" i="2" s="1"/>
  <c r="I128" i="2" s="1"/>
  <c r="J35" i="1"/>
  <c r="K35" i="1" s="1"/>
  <c r="L35" i="1" s="1"/>
  <c r="I35" i="1"/>
  <c r="H35" i="1"/>
  <c r="J5" i="1"/>
  <c r="K5" i="1"/>
  <c r="L5" i="1" s="1"/>
  <c r="I5" i="1"/>
  <c r="H5" i="1"/>
  <c r="J25" i="3" l="1"/>
  <c r="I25" i="3"/>
  <c r="H25" i="3"/>
  <c r="G212" i="2"/>
  <c r="I269" i="2"/>
  <c r="G226" i="2"/>
  <c r="G229" i="2" s="1"/>
  <c r="H226" i="2"/>
  <c r="H229" i="2" s="1"/>
  <c r="H182" i="2"/>
  <c r="H192" i="2" s="1"/>
  <c r="H193" i="2" s="1"/>
  <c r="J251" i="2"/>
  <c r="K252" i="2" s="1"/>
  <c r="L253" i="2" s="1"/>
  <c r="M254" i="2" s="1"/>
  <c r="H175" i="2"/>
  <c r="H195" i="2" s="1"/>
  <c r="H197" i="2" s="1"/>
  <c r="F164" i="2"/>
  <c r="F151" i="2"/>
  <c r="G173" i="2"/>
  <c r="G175" i="2" s="1"/>
  <c r="G195" i="2" s="1"/>
  <c r="G197" i="2" s="1"/>
  <c r="G180" i="2"/>
  <c r="G182" i="2" s="1"/>
  <c r="G192" i="2" s="1"/>
  <c r="G193" i="2" s="1"/>
  <c r="H213" i="2"/>
  <c r="H212" i="2"/>
  <c r="F212" i="2"/>
  <c r="I372" i="2"/>
  <c r="I375" i="2"/>
  <c r="J427" i="2"/>
  <c r="J429" i="2" s="1"/>
  <c r="I106" i="2"/>
  <c r="G213" i="2"/>
  <c r="F214" i="2"/>
  <c r="I17" i="3"/>
  <c r="J120" i="2"/>
  <c r="H17" i="3"/>
  <c r="H383" i="2"/>
  <c r="H77" i="2"/>
  <c r="H14" i="3"/>
  <c r="H421" i="2"/>
  <c r="H237" i="2"/>
  <c r="C245" i="2" s="1"/>
  <c r="H281" i="2"/>
  <c r="J17" i="3"/>
  <c r="H214" i="2"/>
  <c r="G214" i="2"/>
  <c r="H120" i="2"/>
  <c r="H203" i="2"/>
  <c r="J14" i="3"/>
  <c r="H41" i="2"/>
  <c r="J310" i="2"/>
  <c r="I14" i="3"/>
  <c r="I170" i="2"/>
  <c r="J170" i="2" s="1"/>
  <c r="K170" i="2" s="1"/>
  <c r="L170" i="2" s="1"/>
  <c r="M170" i="2" s="1"/>
  <c r="I184" i="2"/>
  <c r="I169" i="2"/>
  <c r="F213" i="2"/>
  <c r="J281" i="2"/>
  <c r="K5" i="2"/>
  <c r="F250" i="2"/>
  <c r="H352" i="2"/>
  <c r="J421" i="2"/>
  <c r="I249" i="2"/>
  <c r="J161" i="2"/>
  <c r="J77" i="2"/>
  <c r="J203" i="2"/>
  <c r="J41" i="2"/>
  <c r="H161" i="2"/>
  <c r="J237" i="2"/>
  <c r="J383" i="2"/>
  <c r="G5" i="2"/>
  <c r="I137" i="2"/>
  <c r="I138" i="2" s="1"/>
  <c r="I149" i="2" s="1"/>
  <c r="I164" i="2" s="1"/>
  <c r="J128" i="2"/>
  <c r="I130" i="2"/>
  <c r="I155" i="2" s="1"/>
  <c r="L284" i="2"/>
  <c r="I284" i="2"/>
  <c r="J284" i="2"/>
  <c r="M284" i="2"/>
  <c r="K284" i="2"/>
  <c r="J144" i="2"/>
  <c r="B282" i="2"/>
  <c r="I150" i="2"/>
  <c r="I151" i="2" s="1"/>
  <c r="I11" i="2" s="1"/>
  <c r="K11" i="3" s="1"/>
  <c r="B162" i="2"/>
  <c r="B237" i="2"/>
  <c r="B78" i="2"/>
  <c r="B204" i="2"/>
  <c r="B121" i="2"/>
  <c r="B422" i="2"/>
  <c r="B311" i="2"/>
  <c r="B353" i="2"/>
  <c r="B384" i="2"/>
  <c r="K250" i="2"/>
  <c r="K251" i="2"/>
  <c r="L252" i="2" s="1"/>
  <c r="M253" i="2" s="1"/>
  <c r="G254" i="2"/>
  <c r="G253" i="2"/>
  <c r="J245" i="2"/>
  <c r="K185" i="2"/>
  <c r="I181" i="2"/>
  <c r="I174" i="2" l="1"/>
  <c r="K245" i="2"/>
  <c r="K269" i="2" s="1"/>
  <c r="J269" i="2"/>
  <c r="L245" i="2"/>
  <c r="L269" i="2" s="1"/>
  <c r="I173" i="2"/>
  <c r="I175" i="2" s="1"/>
  <c r="I195" i="2" s="1"/>
  <c r="I180" i="2"/>
  <c r="I182" i="2" s="1"/>
  <c r="I192" i="2" s="1"/>
  <c r="F180" i="2"/>
  <c r="F173" i="2"/>
  <c r="F181" i="2"/>
  <c r="F174" i="2"/>
  <c r="K427" i="2"/>
  <c r="K429" i="2" s="1"/>
  <c r="J106" i="2"/>
  <c r="J370" i="2"/>
  <c r="I100" i="2"/>
  <c r="J249" i="2"/>
  <c r="J258" i="2"/>
  <c r="L5" i="2"/>
  <c r="K383" i="2"/>
  <c r="K203" i="2"/>
  <c r="K161" i="2"/>
  <c r="K421" i="2"/>
  <c r="K237" i="2"/>
  <c r="K77" i="2"/>
  <c r="K41" i="2"/>
  <c r="K281" i="2"/>
  <c r="K310" i="2"/>
  <c r="K352" i="2"/>
  <c r="K120" i="2"/>
  <c r="F251" i="2"/>
  <c r="F259" i="2"/>
  <c r="G259" i="2" s="1"/>
  <c r="H259" i="2" s="1"/>
  <c r="J259" i="2" s="1"/>
  <c r="I171" i="2"/>
  <c r="I191" i="2" s="1"/>
  <c r="J169" i="2"/>
  <c r="G161" i="2"/>
  <c r="G203" i="2"/>
  <c r="G120" i="2"/>
  <c r="G77" i="2"/>
  <c r="F5" i="2"/>
  <c r="G41" i="2"/>
  <c r="I186" i="2"/>
  <c r="I196" i="2" s="1"/>
  <c r="J184" i="2"/>
  <c r="K144" i="2"/>
  <c r="J150" i="2"/>
  <c r="K56" i="2"/>
  <c r="K57" i="2" s="1"/>
  <c r="K292" i="2"/>
  <c r="K299" i="2"/>
  <c r="L299" i="2"/>
  <c r="L56" i="2"/>
  <c r="L57" i="2" s="1"/>
  <c r="L292" i="2"/>
  <c r="M299" i="2"/>
  <c r="M56" i="2"/>
  <c r="M57" i="2" s="1"/>
  <c r="M292" i="2"/>
  <c r="K128" i="2"/>
  <c r="J137" i="2"/>
  <c r="J138" i="2" s="1"/>
  <c r="J149" i="2" s="1"/>
  <c r="J130" i="2"/>
  <c r="J155" i="2" s="1"/>
  <c r="I56" i="2"/>
  <c r="I57" i="2" s="1"/>
  <c r="I292" i="2"/>
  <c r="I299" i="2"/>
  <c r="J56" i="2"/>
  <c r="J57" i="2" s="1"/>
  <c r="J292" i="2"/>
  <c r="J299" i="2"/>
  <c r="I207" i="2"/>
  <c r="I218" i="2" s="1"/>
  <c r="I83" i="2" s="1"/>
  <c r="L250" i="2"/>
  <c r="L251" i="2"/>
  <c r="M252" i="2" s="1"/>
  <c r="L185" i="2"/>
  <c r="M245" i="2" l="1"/>
  <c r="M269" i="2" s="1"/>
  <c r="F175" i="2"/>
  <c r="F195" i="2" s="1"/>
  <c r="F197" i="2" s="1"/>
  <c r="F182" i="2"/>
  <c r="F192" i="2" s="1"/>
  <c r="F193" i="2" s="1"/>
  <c r="I193" i="2"/>
  <c r="J372" i="2"/>
  <c r="J375" i="2"/>
  <c r="L427" i="2"/>
  <c r="L429" i="2" s="1"/>
  <c r="K106" i="2"/>
  <c r="I197" i="2"/>
  <c r="I12" i="2" s="1"/>
  <c r="I208" i="2" s="1"/>
  <c r="F77" i="2"/>
  <c r="F41" i="2"/>
  <c r="F161" i="2"/>
  <c r="F203" i="2"/>
  <c r="F120" i="2"/>
  <c r="L259" i="2"/>
  <c r="J186" i="2"/>
  <c r="J196" i="2" s="1"/>
  <c r="K184" i="2"/>
  <c r="K169" i="2"/>
  <c r="J171" i="2"/>
  <c r="J191" i="2" s="1"/>
  <c r="M5" i="2"/>
  <c r="L421" i="2"/>
  <c r="L120" i="2"/>
  <c r="L41" i="2"/>
  <c r="L352" i="2"/>
  <c r="L237" i="2"/>
  <c r="L77" i="2"/>
  <c r="L281" i="2"/>
  <c r="L310" i="2"/>
  <c r="L383" i="2"/>
  <c r="L203" i="2"/>
  <c r="L161" i="2"/>
  <c r="F252" i="2"/>
  <c r="F260" i="2"/>
  <c r="G260" i="2" s="1"/>
  <c r="H260" i="2" s="1"/>
  <c r="I259" i="2"/>
  <c r="K259" i="2"/>
  <c r="K249" i="2"/>
  <c r="K258" i="2"/>
  <c r="K391" i="2"/>
  <c r="M23" i="3"/>
  <c r="I391" i="2"/>
  <c r="K23" i="3"/>
  <c r="L391" i="2"/>
  <c r="N23" i="3"/>
  <c r="J391" i="2"/>
  <c r="L23" i="3"/>
  <c r="M391" i="2"/>
  <c r="O23" i="3"/>
  <c r="J164" i="2"/>
  <c r="J151" i="2"/>
  <c r="J11" i="2" s="1"/>
  <c r="L11" i="3" s="1"/>
  <c r="I300" i="2"/>
  <c r="I323" i="2" s="1"/>
  <c r="L128" i="2"/>
  <c r="K130" i="2"/>
  <c r="K155" i="2" s="1"/>
  <c r="K137" i="2"/>
  <c r="K138" i="2" s="1"/>
  <c r="K149" i="2" s="1"/>
  <c r="L144" i="2"/>
  <c r="K150" i="2"/>
  <c r="I226" i="2"/>
  <c r="I49" i="2" s="1"/>
  <c r="M250" i="2"/>
  <c r="M259" i="2" s="1"/>
  <c r="M251" i="2"/>
  <c r="M185" i="2"/>
  <c r="I13" i="2" l="1"/>
  <c r="I18" i="2" s="1"/>
  <c r="K13" i="3" s="1"/>
  <c r="K14" i="3" s="1"/>
  <c r="M427" i="2"/>
  <c r="M429" i="2" s="1"/>
  <c r="M106" i="2" s="1"/>
  <c r="L106" i="2"/>
  <c r="K370" i="2"/>
  <c r="J100" i="2"/>
  <c r="M260" i="2"/>
  <c r="J260" i="2"/>
  <c r="L260" i="2"/>
  <c r="K260" i="2"/>
  <c r="I260" i="2"/>
  <c r="L249" i="2"/>
  <c r="L258" i="2"/>
  <c r="L184" i="2"/>
  <c r="K186" i="2"/>
  <c r="K196" i="2" s="1"/>
  <c r="M281" i="2"/>
  <c r="M120" i="2"/>
  <c r="M161" i="2"/>
  <c r="M310" i="2"/>
  <c r="M203" i="2"/>
  <c r="M237" i="2"/>
  <c r="M77" i="2"/>
  <c r="M421" i="2"/>
  <c r="M41" i="2"/>
  <c r="M352" i="2"/>
  <c r="M383" i="2"/>
  <c r="L169" i="2"/>
  <c r="K171" i="2"/>
  <c r="K191" i="2" s="1"/>
  <c r="F253" i="2"/>
  <c r="F261" i="2"/>
  <c r="G261" i="2" s="1"/>
  <c r="H261" i="2" s="1"/>
  <c r="I220" i="2"/>
  <c r="I219" i="2"/>
  <c r="I301" i="2"/>
  <c r="J298" i="2" s="1"/>
  <c r="J300" i="2" s="1"/>
  <c r="J323" i="2" s="1"/>
  <c r="J174" i="2"/>
  <c r="J181" i="2"/>
  <c r="J173" i="2"/>
  <c r="J180" i="2"/>
  <c r="J207" i="2"/>
  <c r="J218" i="2" s="1"/>
  <c r="M144" i="2"/>
  <c r="M150" i="2" s="1"/>
  <c r="L150" i="2"/>
  <c r="M128" i="2"/>
  <c r="L130" i="2"/>
  <c r="L155" i="2" s="1"/>
  <c r="L137" i="2"/>
  <c r="L138" i="2" s="1"/>
  <c r="L149" i="2" s="1"/>
  <c r="K151" i="2"/>
  <c r="K11" i="2" s="1"/>
  <c r="K164" i="2"/>
  <c r="J301" i="2" l="1"/>
  <c r="K298" i="2" s="1"/>
  <c r="K300" i="2" s="1"/>
  <c r="K323" i="2" s="1"/>
  <c r="K372" i="2"/>
  <c r="K375" i="2" s="1"/>
  <c r="M169" i="2"/>
  <c r="M171" i="2" s="1"/>
  <c r="M191" i="2" s="1"/>
  <c r="L171" i="2"/>
  <c r="L191" i="2" s="1"/>
  <c r="K261" i="2"/>
  <c r="L261" i="2"/>
  <c r="J261" i="2"/>
  <c r="M261" i="2"/>
  <c r="I261" i="2"/>
  <c r="L186" i="2"/>
  <c r="L196" i="2" s="1"/>
  <c r="M184" i="2"/>
  <c r="M186" i="2" s="1"/>
  <c r="M196" i="2" s="1"/>
  <c r="I84" i="2"/>
  <c r="I227" i="2"/>
  <c r="I228" i="2"/>
  <c r="I51" i="2" s="1"/>
  <c r="I95" i="2"/>
  <c r="F254" i="2"/>
  <c r="F263" i="2" s="1"/>
  <c r="G263" i="2" s="1"/>
  <c r="H263" i="2" s="1"/>
  <c r="F262" i="2"/>
  <c r="G262" i="2" s="1"/>
  <c r="H262" i="2" s="1"/>
  <c r="M249" i="2"/>
  <c r="M258" i="2"/>
  <c r="J182" i="2"/>
  <c r="J192" i="2" s="1"/>
  <c r="J193" i="2" s="1"/>
  <c r="J175" i="2"/>
  <c r="J195" i="2" s="1"/>
  <c r="J197" i="2" s="1"/>
  <c r="J12" i="2" s="1"/>
  <c r="J208" i="2" s="1"/>
  <c r="J219" i="2" s="1"/>
  <c r="K207" i="2"/>
  <c r="K218" i="2" s="1"/>
  <c r="K83" i="2" s="1"/>
  <c r="M11" i="3"/>
  <c r="J83" i="2"/>
  <c r="J226" i="2"/>
  <c r="J49" i="2" s="1"/>
  <c r="L164" i="2"/>
  <c r="L151" i="2"/>
  <c r="L11" i="2" s="1"/>
  <c r="N11" i="3" s="1"/>
  <c r="K180" i="2"/>
  <c r="K174" i="2"/>
  <c r="K173" i="2"/>
  <c r="K181" i="2"/>
  <c r="M137" i="2"/>
  <c r="M138" i="2" s="1"/>
  <c r="M149" i="2" s="1"/>
  <c r="M130" i="2"/>
  <c r="M155" i="2" s="1"/>
  <c r="K226" i="2" l="1"/>
  <c r="K49" i="2" s="1"/>
  <c r="L370" i="2"/>
  <c r="K100" i="2"/>
  <c r="I50" i="2"/>
  <c r="I229" i="2"/>
  <c r="J262" i="2"/>
  <c r="M262" i="2"/>
  <c r="I262" i="2"/>
  <c r="I270" i="2" s="1"/>
  <c r="I271" i="2" s="1"/>
  <c r="L262" i="2"/>
  <c r="K262" i="2"/>
  <c r="J220" i="2"/>
  <c r="J228" i="2" s="1"/>
  <c r="J51" i="2" s="1"/>
  <c r="J13" i="2"/>
  <c r="J18" i="2" s="1"/>
  <c r="I263" i="2"/>
  <c r="J263" i="2"/>
  <c r="M263" i="2"/>
  <c r="L263" i="2"/>
  <c r="K263" i="2"/>
  <c r="K175" i="2"/>
  <c r="K195" i="2" s="1"/>
  <c r="K197" i="2" s="1"/>
  <c r="K12" i="2" s="1"/>
  <c r="K208" i="2" s="1"/>
  <c r="K182" i="2"/>
  <c r="K192" i="2" s="1"/>
  <c r="K193" i="2" s="1"/>
  <c r="L207" i="2"/>
  <c r="L218" i="2" s="1"/>
  <c r="K301" i="2"/>
  <c r="L298" i="2" s="1"/>
  <c r="L300" i="2" s="1"/>
  <c r="J84" i="2"/>
  <c r="J227" i="2"/>
  <c r="L180" i="2"/>
  <c r="L174" i="2"/>
  <c r="L173" i="2"/>
  <c r="L181" i="2"/>
  <c r="M164" i="2"/>
  <c r="M151" i="2"/>
  <c r="M11" i="2" s="1"/>
  <c r="O11" i="3" s="1"/>
  <c r="L372" i="2" l="1"/>
  <c r="L375" i="2"/>
  <c r="K270" i="2"/>
  <c r="K271" i="2" s="1"/>
  <c r="K293" i="2" s="1"/>
  <c r="K322" i="2" s="1"/>
  <c r="M270" i="2"/>
  <c r="M271" i="2" s="1"/>
  <c r="M21" i="2" s="1"/>
  <c r="M48" i="2" s="1"/>
  <c r="J270" i="2"/>
  <c r="J271" i="2" s="1"/>
  <c r="J21" i="2" s="1"/>
  <c r="J48" i="2" s="1"/>
  <c r="J95" i="2"/>
  <c r="L270" i="2"/>
  <c r="L271" i="2" s="1"/>
  <c r="L293" i="2" s="1"/>
  <c r="L322" i="2" s="1"/>
  <c r="K13" i="2"/>
  <c r="K18" i="2" s="1"/>
  <c r="M13" i="3" s="1"/>
  <c r="M14" i="3" s="1"/>
  <c r="L13" i="3"/>
  <c r="L14" i="3" s="1"/>
  <c r="I21" i="2"/>
  <c r="I293" i="2"/>
  <c r="L175" i="2"/>
  <c r="L195" i="2" s="1"/>
  <c r="L197" i="2" s="1"/>
  <c r="L12" i="2" s="1"/>
  <c r="L208" i="2" s="1"/>
  <c r="L220" i="2" s="1"/>
  <c r="J229" i="2"/>
  <c r="J50" i="2"/>
  <c r="M207" i="2"/>
  <c r="M218" i="2" s="1"/>
  <c r="M83" i="2" s="1"/>
  <c r="M174" i="2"/>
  <c r="M173" i="2"/>
  <c r="M180" i="2"/>
  <c r="M181" i="2"/>
  <c r="L301" i="2"/>
  <c r="M298" i="2" s="1"/>
  <c r="M300" i="2" s="1"/>
  <c r="L323" i="2"/>
  <c r="K220" i="2"/>
  <c r="K219" i="2"/>
  <c r="L182" i="2"/>
  <c r="L192" i="2" s="1"/>
  <c r="L193" i="2" s="1"/>
  <c r="L83" i="2"/>
  <c r="L226" i="2"/>
  <c r="L49" i="2" s="1"/>
  <c r="K21" i="2" l="1"/>
  <c r="K48" i="2" s="1"/>
  <c r="M370" i="2"/>
  <c r="L100" i="2"/>
  <c r="M293" i="2"/>
  <c r="M322" i="2" s="1"/>
  <c r="J293" i="2"/>
  <c r="J322" i="2" s="1"/>
  <c r="K22" i="2"/>
  <c r="L21" i="2"/>
  <c r="L48" i="2" s="1"/>
  <c r="M182" i="2"/>
  <c r="M192" i="2" s="1"/>
  <c r="M193" i="2" s="1"/>
  <c r="J22" i="2"/>
  <c r="I322" i="2"/>
  <c r="I294" i="2"/>
  <c r="I48" i="2"/>
  <c r="I22" i="2"/>
  <c r="L13" i="2"/>
  <c r="L18" i="2" s="1"/>
  <c r="N13" i="3" s="1"/>
  <c r="N14" i="3" s="1"/>
  <c r="L219" i="2"/>
  <c r="L84" i="2" s="1"/>
  <c r="M175" i="2"/>
  <c r="M195" i="2" s="1"/>
  <c r="M197" i="2" s="1"/>
  <c r="M12" i="2" s="1"/>
  <c r="L95" i="2"/>
  <c r="L228" i="2"/>
  <c r="L51" i="2" s="1"/>
  <c r="M226" i="2"/>
  <c r="M49" i="2" s="1"/>
  <c r="M301" i="2"/>
  <c r="M323" i="2"/>
  <c r="K84" i="2"/>
  <c r="K227" i="2"/>
  <c r="K95" i="2"/>
  <c r="K228" i="2"/>
  <c r="K51" i="2" s="1"/>
  <c r="M372" i="2" l="1"/>
  <c r="M100" i="2" s="1"/>
  <c r="M375" i="2"/>
  <c r="L22" i="2"/>
  <c r="J291" i="2"/>
  <c r="J294" i="2" s="1"/>
  <c r="I87" i="2"/>
  <c r="L227" i="2"/>
  <c r="L50" i="2" s="1"/>
  <c r="M208" i="2"/>
  <c r="M13" i="2"/>
  <c r="M18" i="2" s="1"/>
  <c r="K50" i="2"/>
  <c r="K229" i="2"/>
  <c r="L229" i="2" l="1"/>
  <c r="J87" i="2"/>
  <c r="K291" i="2"/>
  <c r="K294" i="2" s="1"/>
  <c r="M22" i="2"/>
  <c r="O13" i="3"/>
  <c r="O14" i="3" s="1"/>
  <c r="M219" i="2"/>
  <c r="M220" i="2"/>
  <c r="K87" i="2" l="1"/>
  <c r="L291" i="2"/>
  <c r="L294" i="2" s="1"/>
  <c r="M84" i="2"/>
  <c r="M227" i="2"/>
  <c r="M95" i="2"/>
  <c r="M228" i="2"/>
  <c r="M51" i="2" s="1"/>
  <c r="M291" i="2" l="1"/>
  <c r="M294" i="2" s="1"/>
  <c r="M87" i="2" s="1"/>
  <c r="L87" i="2"/>
  <c r="M50" i="2"/>
  <c r="M229" i="2"/>
  <c r="I25" i="2"/>
  <c r="J25" i="2"/>
  <c r="K25" i="2"/>
  <c r="L25" i="2"/>
  <c r="M25" i="2"/>
  <c r="I26" i="2"/>
  <c r="J26" i="2"/>
  <c r="K26" i="2"/>
  <c r="L26" i="2"/>
  <c r="M26" i="2"/>
  <c r="I27" i="2"/>
  <c r="J27" i="2"/>
  <c r="K27" i="2"/>
  <c r="L27" i="2"/>
  <c r="M27" i="2"/>
  <c r="I30" i="2"/>
  <c r="J30" i="2"/>
  <c r="K30" i="2"/>
  <c r="L30" i="2"/>
  <c r="M30" i="2"/>
  <c r="I31" i="2"/>
  <c r="J31" i="2"/>
  <c r="K31" i="2"/>
  <c r="L31" i="2"/>
  <c r="M31" i="2"/>
  <c r="I32" i="2"/>
  <c r="J32" i="2"/>
  <c r="K32" i="2"/>
  <c r="L32" i="2"/>
  <c r="M32" i="2"/>
  <c r="I35" i="2"/>
  <c r="J35" i="2"/>
  <c r="K35" i="2"/>
  <c r="L35" i="2"/>
  <c r="M35" i="2"/>
  <c r="I46" i="2"/>
  <c r="J46" i="2"/>
  <c r="K46" i="2"/>
  <c r="L46" i="2"/>
  <c r="M46" i="2"/>
  <c r="I47" i="2"/>
  <c r="J47" i="2"/>
  <c r="K47" i="2"/>
  <c r="L47" i="2"/>
  <c r="M47" i="2"/>
  <c r="I52" i="2"/>
  <c r="J52" i="2"/>
  <c r="K52" i="2"/>
  <c r="L52" i="2"/>
  <c r="M52" i="2"/>
  <c r="I62" i="2"/>
  <c r="J62" i="2"/>
  <c r="K62" i="2"/>
  <c r="L62" i="2"/>
  <c r="M62" i="2"/>
  <c r="I64" i="2"/>
  <c r="J64" i="2"/>
  <c r="K64" i="2"/>
  <c r="L64" i="2"/>
  <c r="M64" i="2"/>
  <c r="I65" i="2"/>
  <c r="J65" i="2"/>
  <c r="K65" i="2"/>
  <c r="L65" i="2"/>
  <c r="M65" i="2"/>
  <c r="J69" i="2"/>
  <c r="K69" i="2"/>
  <c r="L69" i="2"/>
  <c r="M69" i="2"/>
  <c r="I70" i="2"/>
  <c r="J70" i="2"/>
  <c r="K70" i="2"/>
  <c r="L70" i="2"/>
  <c r="M70" i="2"/>
  <c r="I71" i="2"/>
  <c r="J71" i="2"/>
  <c r="K71" i="2"/>
  <c r="L71" i="2"/>
  <c r="M71" i="2"/>
  <c r="I82" i="2"/>
  <c r="J82" i="2"/>
  <c r="K82" i="2"/>
  <c r="L82" i="2"/>
  <c r="M82" i="2"/>
  <c r="I85" i="2"/>
  <c r="J85" i="2"/>
  <c r="K85" i="2"/>
  <c r="L85" i="2"/>
  <c r="M85" i="2"/>
  <c r="I90" i="2"/>
  <c r="J90" i="2"/>
  <c r="K90" i="2"/>
  <c r="L90" i="2"/>
  <c r="M90" i="2"/>
  <c r="I96" i="2"/>
  <c r="J96" i="2"/>
  <c r="K96" i="2"/>
  <c r="L96" i="2"/>
  <c r="M96" i="2"/>
  <c r="I97" i="2"/>
  <c r="J97" i="2"/>
  <c r="K97" i="2"/>
  <c r="L97" i="2"/>
  <c r="M97" i="2"/>
  <c r="I99" i="2"/>
  <c r="J99" i="2"/>
  <c r="K99" i="2"/>
  <c r="L99" i="2"/>
  <c r="M99" i="2"/>
  <c r="I101" i="2"/>
  <c r="J101" i="2"/>
  <c r="K101" i="2"/>
  <c r="L101" i="2"/>
  <c r="M101" i="2"/>
  <c r="I107" i="2"/>
  <c r="J107" i="2"/>
  <c r="K107" i="2"/>
  <c r="L107" i="2"/>
  <c r="M107" i="2"/>
  <c r="I108" i="2"/>
  <c r="J108" i="2"/>
  <c r="K108" i="2"/>
  <c r="L108" i="2"/>
  <c r="M108" i="2"/>
  <c r="I111" i="2"/>
  <c r="J111" i="2"/>
  <c r="K111" i="2"/>
  <c r="L111" i="2"/>
  <c r="M111" i="2"/>
  <c r="I114" i="2"/>
  <c r="J114" i="2"/>
  <c r="K114" i="2"/>
  <c r="L114" i="2"/>
  <c r="M114" i="2"/>
  <c r="I313" i="2"/>
  <c r="J313" i="2"/>
  <c r="K313" i="2"/>
  <c r="L313" i="2"/>
  <c r="M313" i="2"/>
  <c r="I314" i="2"/>
  <c r="J314" i="2"/>
  <c r="K314" i="2"/>
  <c r="L314" i="2"/>
  <c r="M314" i="2"/>
  <c r="I321" i="2"/>
  <c r="J321" i="2"/>
  <c r="K321" i="2"/>
  <c r="L321" i="2"/>
  <c r="M321" i="2"/>
  <c r="I324" i="2"/>
  <c r="J324" i="2"/>
  <c r="K324" i="2"/>
  <c r="L324" i="2"/>
  <c r="M324" i="2"/>
  <c r="I327" i="2"/>
  <c r="J327" i="2"/>
  <c r="K327" i="2"/>
  <c r="L327" i="2"/>
  <c r="M327" i="2"/>
  <c r="I328" i="2"/>
  <c r="J328" i="2"/>
  <c r="K328" i="2"/>
  <c r="L328" i="2"/>
  <c r="M328" i="2"/>
  <c r="I329" i="2"/>
  <c r="J329" i="2"/>
  <c r="K329" i="2"/>
  <c r="L329" i="2"/>
  <c r="M329" i="2"/>
  <c r="J332" i="2"/>
  <c r="K332" i="2"/>
  <c r="L332" i="2"/>
  <c r="M332" i="2"/>
  <c r="I333" i="2"/>
  <c r="J333" i="2"/>
  <c r="K333" i="2"/>
  <c r="L333" i="2"/>
  <c r="M333" i="2"/>
  <c r="I334" i="2"/>
  <c r="J334" i="2"/>
  <c r="K334" i="2"/>
  <c r="L334" i="2"/>
  <c r="M334" i="2"/>
  <c r="I335" i="2"/>
  <c r="J335" i="2"/>
  <c r="K335" i="2"/>
  <c r="L335" i="2"/>
  <c r="M335" i="2"/>
  <c r="I340" i="2"/>
  <c r="J340" i="2"/>
  <c r="K340" i="2"/>
  <c r="L340" i="2"/>
  <c r="M340" i="2"/>
  <c r="I341" i="2"/>
  <c r="J341" i="2"/>
  <c r="K341" i="2"/>
  <c r="L341" i="2"/>
  <c r="M341" i="2"/>
  <c r="I342" i="2"/>
  <c r="J342" i="2"/>
  <c r="K342" i="2"/>
  <c r="L342" i="2"/>
  <c r="M342" i="2"/>
  <c r="J358" i="2"/>
  <c r="K358" i="2"/>
  <c r="L358" i="2"/>
  <c r="M358" i="2"/>
  <c r="I359" i="2"/>
  <c r="J359" i="2"/>
  <c r="K359" i="2"/>
  <c r="L359" i="2"/>
  <c r="M359" i="2"/>
  <c r="I360" i="2"/>
  <c r="J360" i="2"/>
  <c r="K360" i="2"/>
  <c r="L360" i="2"/>
  <c r="M360" i="2"/>
  <c r="I363" i="2"/>
  <c r="J363" i="2"/>
  <c r="K363" i="2"/>
  <c r="L363" i="2"/>
  <c r="M363" i="2"/>
  <c r="J389" i="2"/>
  <c r="K389" i="2"/>
  <c r="L389" i="2"/>
  <c r="M389" i="2"/>
  <c r="I390" i="2"/>
  <c r="J390" i="2"/>
  <c r="K390" i="2"/>
  <c r="L390" i="2"/>
  <c r="M390" i="2"/>
  <c r="I394" i="2"/>
  <c r="J394" i="2"/>
  <c r="K394" i="2"/>
  <c r="L394" i="2"/>
  <c r="M394" i="2"/>
  <c r="I395" i="2"/>
  <c r="J395" i="2"/>
  <c r="K395" i="2"/>
  <c r="L395" i="2"/>
  <c r="M395" i="2"/>
  <c r="J402" i="2"/>
  <c r="K402" i="2"/>
  <c r="L402" i="2"/>
  <c r="M402" i="2"/>
  <c r="I403" i="2"/>
  <c r="J403" i="2"/>
  <c r="K403" i="2"/>
  <c r="L403" i="2"/>
  <c r="M403" i="2"/>
  <c r="I404" i="2"/>
  <c r="J404" i="2"/>
  <c r="K404" i="2"/>
  <c r="L404" i="2"/>
  <c r="M404" i="2"/>
  <c r="I407" i="2"/>
  <c r="J407" i="2"/>
  <c r="K407" i="2"/>
  <c r="L407" i="2"/>
  <c r="M407" i="2"/>
  <c r="I411" i="2"/>
  <c r="J411" i="2"/>
  <c r="K411" i="2"/>
  <c r="L411" i="2"/>
  <c r="M411" i="2"/>
  <c r="I412" i="2"/>
  <c r="J412" i="2"/>
  <c r="K412" i="2"/>
  <c r="L412" i="2"/>
  <c r="M412" i="2"/>
  <c r="I413" i="2"/>
  <c r="J413" i="2"/>
  <c r="K413" i="2"/>
  <c r="L413" i="2"/>
  <c r="M413" i="2"/>
  <c r="I431" i="2"/>
  <c r="J431" i="2"/>
  <c r="K431" i="2"/>
  <c r="L431" i="2"/>
  <c r="M431" i="2"/>
  <c r="I433" i="2"/>
  <c r="J433" i="2"/>
  <c r="K433" i="2"/>
  <c r="L433" i="2"/>
  <c r="M433" i="2"/>
  <c r="J440" i="2"/>
  <c r="K440" i="2"/>
  <c r="L440" i="2"/>
  <c r="M440" i="2"/>
  <c r="I441" i="2"/>
  <c r="J441" i="2"/>
  <c r="K441" i="2"/>
  <c r="L441" i="2"/>
  <c r="M441" i="2"/>
  <c r="I442" i="2"/>
  <c r="J442" i="2"/>
  <c r="K442" i="2"/>
  <c r="L442" i="2"/>
  <c r="M442" i="2"/>
  <c r="I443" i="2"/>
  <c r="J443" i="2"/>
  <c r="K443" i="2"/>
  <c r="L443" i="2"/>
  <c r="M443" i="2"/>
  <c r="K16" i="3"/>
  <c r="L16" i="3"/>
  <c r="M16" i="3"/>
  <c r="N16" i="3"/>
  <c r="O16" i="3"/>
  <c r="K17" i="3"/>
  <c r="L17" i="3"/>
  <c r="M17" i="3"/>
  <c r="N17" i="3"/>
  <c r="O17" i="3"/>
  <c r="K22" i="3"/>
  <c r="L22" i="3"/>
  <c r="M22" i="3"/>
  <c r="N22" i="3"/>
  <c r="O22" i="3"/>
  <c r="K24" i="3"/>
  <c r="L24" i="3"/>
  <c r="M24" i="3"/>
  <c r="N24" i="3"/>
  <c r="O24" i="3"/>
  <c r="K25" i="3"/>
  <c r="L25" i="3"/>
  <c r="M25" i="3"/>
  <c r="N25" i="3"/>
  <c r="O2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<sst xmlns="http://schemas.openxmlformats.org/spreadsheetml/2006/main" count="353" uniqueCount="206">
  <si>
    <t xml:space="preserve"> </t>
  </si>
  <si>
    <t>Drivers</t>
  </si>
  <si>
    <t>All figures in USD thousands unless stated</t>
  </si>
  <si>
    <t>Driver Switch</t>
  </si>
  <si>
    <t>Sales Volume Growth</t>
  </si>
  <si>
    <t>Best Case</t>
  </si>
  <si>
    <t>Base Case</t>
  </si>
  <si>
    <t>Worst Case</t>
  </si>
  <si>
    <t>Pricing Increases</t>
  </si>
  <si>
    <t>Capital Expenditure</t>
  </si>
  <si>
    <t>Working Capital</t>
  </si>
  <si>
    <t>Accounts Receivable</t>
  </si>
  <si>
    <t>(Days)</t>
  </si>
  <si>
    <t>Inventory</t>
  </si>
  <si>
    <t>Accounts Payable</t>
  </si>
  <si>
    <t>Other Annual Inputs</t>
  </si>
  <si>
    <t>Inflation Rate</t>
  </si>
  <si>
    <t>Term Debt</t>
  </si>
  <si>
    <t>Increase / (Decrease)</t>
  </si>
  <si>
    <t>Common Equity</t>
  </si>
  <si>
    <t>Dates</t>
  </si>
  <si>
    <t>Taxes</t>
  </si>
  <si>
    <t>First Year of Forecast</t>
  </si>
  <si>
    <t>(YYYY)</t>
  </si>
  <si>
    <t>Tax Rate</t>
  </si>
  <si>
    <t>Days in Period</t>
  </si>
  <si>
    <t>First Year Tax Depreciation</t>
  </si>
  <si>
    <t>Blended Tax Depreciation Rate</t>
  </si>
  <si>
    <t>Tax Basis for Assets</t>
  </si>
  <si>
    <t>(End of 2022)</t>
  </si>
  <si>
    <t>Other Single Inputs</t>
  </si>
  <si>
    <t>Tax Losses</t>
  </si>
  <si>
    <t>Plant Capacity</t>
  </si>
  <si>
    <t>(Units/Day)</t>
  </si>
  <si>
    <t>Dividend Payout Ratio</t>
  </si>
  <si>
    <t>Interest Rates</t>
  </si>
  <si>
    <t>Depreciation</t>
  </si>
  <si>
    <t>Cash Balances</t>
  </si>
  <si>
    <t>First Year Accounting Depreciation</t>
  </si>
  <si>
    <t>Revolving Credit Line</t>
  </si>
  <si>
    <t>Useful Life: Existing Assets</t>
  </si>
  <si>
    <t>(Years)</t>
  </si>
  <si>
    <t>Long Term Debt</t>
  </si>
  <si>
    <t>Useful Life: New Assets</t>
  </si>
  <si>
    <t>Income Statement</t>
  </si>
  <si>
    <t>Inflation</t>
  </si>
  <si>
    <t>Revenue</t>
  </si>
  <si>
    <t>COGS</t>
  </si>
  <si>
    <t>Gross Profit</t>
  </si>
  <si>
    <t>SG&amp;A</t>
  </si>
  <si>
    <t>Other</t>
  </si>
  <si>
    <t>EBITDA</t>
  </si>
  <si>
    <t>EBIT</t>
  </si>
  <si>
    <t>Interest Expense</t>
  </si>
  <si>
    <t>Interest Income</t>
  </si>
  <si>
    <t>EBT</t>
  </si>
  <si>
    <t>Current Tax</t>
  </si>
  <si>
    <t>Deferred Tax</t>
  </si>
  <si>
    <t>Total Tax</t>
  </si>
  <si>
    <t>Net Income</t>
  </si>
  <si>
    <t>Cash Flow Statement</t>
  </si>
  <si>
    <t>CASH FROM OPERATING</t>
  </si>
  <si>
    <t>Deferred Taxes</t>
  </si>
  <si>
    <t>Cash From Accounts Receivable</t>
  </si>
  <si>
    <t>Cash From Inventory</t>
  </si>
  <si>
    <t>Cash From Accounts Payable</t>
  </si>
  <si>
    <t>Subtotal</t>
  </si>
  <si>
    <t>CASH FROM INVESTING</t>
  </si>
  <si>
    <t>CASH FROM FINANCING</t>
  </si>
  <si>
    <t>Change in Long-Term Debt</t>
  </si>
  <si>
    <t>Change in Revolving Credit Line</t>
  </si>
  <si>
    <t>Change in Common Equity</t>
  </si>
  <si>
    <t>Dividends</t>
  </si>
  <si>
    <t>CASH BALANCE</t>
  </si>
  <si>
    <t>Beginning of the Year</t>
  </si>
  <si>
    <t>End of the Year</t>
  </si>
  <si>
    <t>Balance Sheet</t>
  </si>
  <si>
    <t>ASSETS</t>
  </si>
  <si>
    <t>Cash</t>
  </si>
  <si>
    <t>Inventories</t>
  </si>
  <si>
    <t>Total Current Assets</t>
  </si>
  <si>
    <t>Property Plant &amp; Equipment</t>
  </si>
  <si>
    <t>Total Assets</t>
  </si>
  <si>
    <t>LIABILITIES</t>
  </si>
  <si>
    <t>Total Current Liabilities</t>
  </si>
  <si>
    <t>Long-Term Debt</t>
  </si>
  <si>
    <t>Total Liabilities</t>
  </si>
  <si>
    <t>EQUITY</t>
  </si>
  <si>
    <t>Retained Earnings</t>
  </si>
  <si>
    <t>Total Shareholders' Equity</t>
  </si>
  <si>
    <t>Total Liabilities &amp; Equity</t>
  </si>
  <si>
    <t>Check</t>
  </si>
  <si>
    <t>Revenue Schedule</t>
  </si>
  <si>
    <t>OPERATIONS</t>
  </si>
  <si>
    <t>Sales Volume</t>
  </si>
  <si>
    <t>Operational Efficiency</t>
  </si>
  <si>
    <t>VOLUME</t>
  </si>
  <si>
    <t>(Units)</t>
  </si>
  <si>
    <t>PRICING</t>
  </si>
  <si>
    <t>Unit Price</t>
  </si>
  <si>
    <t>(USD/Unit)</t>
  </si>
  <si>
    <t>REVENUE</t>
  </si>
  <si>
    <t>Sales Price</t>
  </si>
  <si>
    <t>Operational Capacity Exceeded?</t>
  </si>
  <si>
    <t>VARIABLE COSTS</t>
  </si>
  <si>
    <t>Materials</t>
  </si>
  <si>
    <t>Packaging</t>
  </si>
  <si>
    <t>FIXED COSTS</t>
  </si>
  <si>
    <t>Labor</t>
  </si>
  <si>
    <t>Utilities</t>
  </si>
  <si>
    <t>SUMMARY</t>
  </si>
  <si>
    <t>Variable Costs</t>
  </si>
  <si>
    <t>Fixed Costs</t>
  </si>
  <si>
    <t>Total Costs</t>
  </si>
  <si>
    <t>Working Capital Schedule</t>
  </si>
  <si>
    <t>AMOUNTS PER DAY</t>
  </si>
  <si>
    <t>TOTAL AMOUNTS</t>
  </si>
  <si>
    <t>CASH CHANGES</t>
  </si>
  <si>
    <t>Cash from Working Capital Items</t>
  </si>
  <si>
    <t>Depreciation Schedule</t>
  </si>
  <si>
    <r>
      <t xml:space="preserve">EXISTING ASSETS </t>
    </r>
    <r>
      <rPr>
        <b/>
        <vertAlign val="superscript"/>
        <sz val="10"/>
        <color rgb="FF000000"/>
        <rFont val="Open Sans"/>
        <charset val="134"/>
      </rPr>
      <t>1</t>
    </r>
  </si>
  <si>
    <t>Percent of Full Year</t>
  </si>
  <si>
    <t>Useful Life</t>
  </si>
  <si>
    <t>PP&amp;E</t>
  </si>
  <si>
    <t>Year</t>
  </si>
  <si>
    <t>Life</t>
  </si>
  <si>
    <t>First Year Amount</t>
  </si>
  <si>
    <t>Amounts for Depreciation</t>
  </si>
  <si>
    <t>Capex</t>
  </si>
  <si>
    <t>Per Yr</t>
  </si>
  <si>
    <r>
      <t xml:space="preserve">TOTAL ASSET DEPRECIATION </t>
    </r>
    <r>
      <rPr>
        <b/>
        <vertAlign val="superscript"/>
        <sz val="9"/>
        <color rgb="FF000000"/>
        <rFont val="Open Sans"/>
        <charset val="134"/>
      </rPr>
      <t>2</t>
    </r>
  </si>
  <si>
    <t>Existing Assets</t>
  </si>
  <si>
    <t>New Assets</t>
  </si>
  <si>
    <t>Total Depreciation</t>
  </si>
  <si>
    <t xml:space="preserve">All PP&amp;E and capital expenditure is assumed depreciable (i.e. no land balance). </t>
  </si>
  <si>
    <t xml:space="preserve">This schedule calculates depreciation on a straight-line basis. </t>
  </si>
  <si>
    <t>Asset Schedule</t>
  </si>
  <si>
    <r>
      <t xml:space="preserve">PROPERTY PLANT &amp; EQUIPMENT </t>
    </r>
    <r>
      <rPr>
        <b/>
        <vertAlign val="superscript"/>
        <sz val="10"/>
        <color rgb="FF000000"/>
        <rFont val="Open Sans"/>
        <charset val="134"/>
      </rPr>
      <t>1</t>
    </r>
  </si>
  <si>
    <t>Beginning</t>
  </si>
  <si>
    <t>Accounting Depreciation</t>
  </si>
  <si>
    <t>Ending</t>
  </si>
  <si>
    <r>
      <t xml:space="preserve">TAX BASIS </t>
    </r>
    <r>
      <rPr>
        <b/>
        <vertAlign val="superscript"/>
        <sz val="10"/>
        <color rgb="FF000000"/>
        <rFont val="Open Sans"/>
        <charset val="134"/>
      </rPr>
      <t>1</t>
    </r>
  </si>
  <si>
    <t>Tax Depreciation</t>
  </si>
  <si>
    <t xml:space="preserve">Model assumes no dispositions that would impact the PP&amp;E or the Tax Basis. </t>
  </si>
  <si>
    <t>Income Tax Schedule</t>
  </si>
  <si>
    <t>Earnings Before Tax (EBT)</t>
  </si>
  <si>
    <t>Profitable Before Taxes?</t>
  </si>
  <si>
    <t>Unused Tax Losses Remaining?</t>
  </si>
  <si>
    <t>ADJUSTMENT FOR DEPRECIATION</t>
  </si>
  <si>
    <t>Add: Accounting Depreciation</t>
  </si>
  <si>
    <t>Less: Tax Depreciation</t>
  </si>
  <si>
    <t>EBT After Adjustment</t>
  </si>
  <si>
    <r>
      <t xml:space="preserve">ADJUSTMENT FOR TAX LOSSES </t>
    </r>
    <r>
      <rPr>
        <b/>
        <vertAlign val="superscript"/>
        <sz val="10"/>
        <color rgb="FF000000"/>
        <rFont val="Open Sans"/>
        <charset val="134"/>
      </rPr>
      <t>1</t>
    </r>
  </si>
  <si>
    <r>
      <t xml:space="preserve">Less: Use of Tax Losses </t>
    </r>
    <r>
      <rPr>
        <vertAlign val="superscript"/>
        <sz val="10"/>
        <color rgb="FF000000"/>
        <rFont val="Open Sans"/>
        <charset val="134"/>
      </rPr>
      <t>2</t>
    </r>
  </si>
  <si>
    <t>Taxable Income</t>
  </si>
  <si>
    <t>TAX LOSSES</t>
  </si>
  <si>
    <t>Add: New Losses</t>
  </si>
  <si>
    <t>Less: Use of Tax Losses</t>
  </si>
  <si>
    <t>TAXES</t>
  </si>
  <si>
    <t>Current Taxes</t>
  </si>
  <si>
    <t>Total Taxes</t>
  </si>
  <si>
    <t>CASH</t>
  </si>
  <si>
    <t>Beginning Balance</t>
  </si>
  <si>
    <t>Ending Balance</t>
  </si>
  <si>
    <t>Interest Rate</t>
  </si>
  <si>
    <t>LONG TERM DEBT</t>
  </si>
  <si>
    <t>AVAILABLE CASH</t>
  </si>
  <si>
    <t>Beginning Cash Balance</t>
  </si>
  <si>
    <t>Cash from Operations</t>
  </si>
  <si>
    <t>Cash from Investing</t>
  </si>
  <si>
    <t>Cash Available for Revolving Credit Line</t>
  </si>
  <si>
    <t>REVOLVING CREDIT LINE</t>
  </si>
  <si>
    <t>Less: Interest Income</t>
  </si>
  <si>
    <t>Net Interest Expense</t>
  </si>
  <si>
    <t>COMMON EQUITY</t>
  </si>
  <si>
    <t>Payout Ratio</t>
  </si>
  <si>
    <t>Dividend</t>
  </si>
  <si>
    <t>RETAINED EARNINGS</t>
  </si>
  <si>
    <t>Dashboard: Charts &amp; Graphs</t>
  </si>
  <si>
    <t>INCOME STATEMENT</t>
  </si>
  <si>
    <t>EBITDA Margin</t>
  </si>
  <si>
    <t>Net Income Margin</t>
  </si>
  <si>
    <t>CASH FLOW STATEMENT</t>
  </si>
  <si>
    <t>Operating</t>
  </si>
  <si>
    <t>Investing</t>
  </si>
  <si>
    <t>Financing</t>
  </si>
  <si>
    <t>Change in Cash</t>
  </si>
  <si>
    <t>Accounts Receivables</t>
  </si>
  <si>
    <t xml:space="preserve">Cost Schedule </t>
  </si>
  <si>
    <t>Blended Tax Depreciation</t>
  </si>
  <si>
    <t xml:space="preserve">Debt Schedule Part 1 </t>
  </si>
  <si>
    <t>Debt Schedule Part 2</t>
  </si>
  <si>
    <t xml:space="preserve">Equity Schedule </t>
  </si>
  <si>
    <t>3-Statement Modeling</t>
  </si>
  <si>
    <t>Table of Contents</t>
  </si>
  <si>
    <t>Model Checks</t>
  </si>
  <si>
    <t>Model Exceeding Operational Capacity?</t>
  </si>
  <si>
    <t>Balance Sheet Unbalanced?</t>
  </si>
  <si>
    <t>Output!A1</t>
  </si>
  <si>
    <t>Inputs!A1</t>
  </si>
  <si>
    <t>Model!A1</t>
  </si>
  <si>
    <t xml:space="preserve">Developed By : Priyam Chandan </t>
  </si>
  <si>
    <t>Hard Code</t>
  </si>
  <si>
    <t xml:space="preserve"> Blue Colour</t>
  </si>
  <si>
    <t xml:space="preserve">Black Colour </t>
  </si>
  <si>
    <t>Forumlas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</si>
</sst>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7" formatCode="_-* #,##0_-;\(#,##0\)_-;_-* &quot;-&quot;_-;_-@_-"/>
    <numFmt numFmtId="168" formatCode="#,##0;\-#,##0"/>
    <numFmt numFmtId="169" formatCode="0&quot;A&quot;"/>
    <numFmt numFmtId="170" formatCode="_(#,##0_)_%;\(#,##0\)_%;_(&quot;–&quot;_)_%;_(@_)_%"/>
    <numFmt numFmtId="171" formatCode="0&quot;F&quot;"/>
    <numFmt numFmtId="172" formatCode="yyyy/mm/dd;@"/>
    <numFmt numFmtId="173" formatCode="_(#,##0.0%_);\(#,##0.0%\);_(&quot;–&quot;_)_%;_(@_)_%"/>
    <numFmt numFmtId="174" formatCode="0.0%"/>
    <numFmt numFmtId="175" formatCode="_(#,##0_);\(#,##0\);_(&quot;–&quot;_);_(@_)"/>
    <numFmt numFmtId="176" formatCode="0000_)"/>
    <numFmt numFmtId="177" formatCode="_(#,##0%_);\(#,##0%\);_(&quot;–&quot;_)_%;_(@_)_%"/>
    <numFmt numFmtId="178" formatCode="_(#,##0.00_);\(#,##0.00\);_(&quot;–&quot;_);_(@_)"/>
    <numFmt numFmtId="179" formatCode="#,##0_);[Red]\(#,##0\);\-"/>
    <numFmt numFmtId="180" formatCode="#,##0_);\(#,##0\);\-"/>
    <numFmt numFmtId="181" formatCode="_(#,##0.0_);\(#,##0.0\);_(&quot;–&quot;_);_(@_)"/>
    <numFmt numFmtId="182" formatCode="[=0]&quot;-&quot;_);[=1]&quot;Yes&quot;_)"/>
    <numFmt numFmtId="183" formatCode="&quot;Yes&quot;;&quot;ERROR&quot;;&quot;No&quot;;&quot;ERROR&quot;"/>
    <numFmt numFmtId="184" formatCode="0&quot;E&quot;"/>
    <numFmt numFmtId="185" formatCode="#,##0.00;[Red]\-#,##0.00"/>
    <numFmt numFmtId="186" formatCode="#,##0;[Red]\-#,##0"/>
    <numFmt numFmtId="187" formatCode="@&quot;⁽&quot;&quot;¹&quot;&quot;⁾&quot;"/>
    <numFmt numFmtId="189" formatCode="&quot;Yr&quot;\ 0"/>
    <numFmt numFmtId="190" formatCode="0&quot;F&quot;\ "/>
    <numFmt numFmtId="191" formatCode="#,##0.00_);\(#,##0.00\);\-"/>
    <numFmt numFmtId="192" formatCode="@&quot;⁽&quot;&quot;²&quot;&quot;⁾&quot;"/>
    <numFmt numFmtId="193" formatCode="#,##0.0_);\(#,##0.0\);\-"/>
    <numFmt numFmtId="194" formatCode="[=1]&quot;Yes&quot;_);[=0]&quot;No&quot;_)"/>
    <numFmt numFmtId="195" formatCode="[=1]&quot;☑️&quot;_);[=0]&quot;⬜&quot;_)"/>
    <numFmt numFmtId="196" formatCode="0000\A"/>
    <numFmt numFmtId="197" formatCode="[=1]&quot;Yes&quot;;[=0]&quot;No&quot;"/>
  </numFmts>
  <fonts count="41" x14ac:knownFonts="1">
    <font>
      <sz val="10"/>
      <color theme="1"/>
      <name val="Aptos Narrow"/>
      <family val="2"/>
      <scheme val="minor"/>
    </font>
    <font>
      <sz val="11"/>
      <color rgb="FF000000"/>
      <name val="Open Sans"/>
      <charset val="134"/>
    </font>
    <font>
      <b/>
      <sz val="14"/>
      <color rgb="FF3271D2"/>
      <name val="Open Sans"/>
      <charset val="134"/>
    </font>
    <font>
      <b/>
      <sz val="10"/>
      <color rgb="FFFFFFFF"/>
      <name val="Open Sans"/>
      <charset val="134"/>
    </font>
    <font>
      <sz val="10"/>
      <color rgb="FFFFFFFF"/>
      <name val="Open Sans"/>
      <charset val="134"/>
    </font>
    <font>
      <b/>
      <sz val="10"/>
      <color rgb="FFFA621C"/>
      <name val="Open Sans"/>
      <charset val="134"/>
    </font>
    <font>
      <b/>
      <sz val="14"/>
      <color rgb="FF0000FF"/>
      <name val="Open Sans"/>
      <charset val="134"/>
    </font>
    <font>
      <i/>
      <sz val="9"/>
      <color rgb="FF000000"/>
      <name val="Open Sans"/>
      <charset val="134"/>
    </font>
    <font>
      <b/>
      <sz val="10"/>
      <color rgb="FF000000"/>
      <name val="Open Sans"/>
      <charset val="134"/>
    </font>
    <font>
      <b/>
      <sz val="10"/>
      <color rgb="FF3271D2"/>
      <name val="Open Sans"/>
      <charset val="134"/>
    </font>
    <font>
      <sz val="12"/>
      <color rgb="FF000000"/>
      <name val="Open Sans"/>
      <charset val="134"/>
    </font>
    <font>
      <sz val="10"/>
      <color rgb="FF000000"/>
      <name val="Open Sans"/>
      <charset val="134"/>
    </font>
    <font>
      <i/>
      <sz val="10"/>
      <color rgb="FF000000"/>
      <name val="Open Sans"/>
      <charset val="134"/>
    </font>
    <font>
      <sz val="10"/>
      <color rgb="FF0000FF"/>
      <name val="Open Sans"/>
      <charset val="134"/>
    </font>
    <font>
      <sz val="10"/>
      <color rgb="FF3271D2"/>
      <name val="Open Sans"/>
      <charset val="134"/>
    </font>
    <font>
      <sz val="11"/>
      <color rgb="FF3271D2"/>
      <name val="Open Sans"/>
      <charset val="134"/>
    </font>
    <font>
      <sz val="10"/>
      <color rgb="FFFA621C"/>
      <name val="Open Sans"/>
      <charset val="134"/>
    </font>
    <font>
      <b/>
      <sz val="14"/>
      <color rgb="FFFFFFFF"/>
      <name val="Open Sans"/>
      <charset val="134"/>
    </font>
    <font>
      <i/>
      <sz val="11"/>
      <color rgb="FF000000"/>
      <name val="Open Sans"/>
      <charset val="134"/>
    </font>
    <font>
      <i/>
      <sz val="8"/>
      <color rgb="FF000000"/>
      <name val="Open Sans"/>
      <charset val="134"/>
    </font>
    <font>
      <sz val="11"/>
      <color rgb="FFC32838"/>
      <name val="Open Sans"/>
      <charset val="134"/>
    </font>
    <font>
      <sz val="14"/>
      <color rgb="FF000000"/>
      <name val="Open Sans"/>
      <charset val="134"/>
    </font>
    <font>
      <sz val="11"/>
      <color rgb="FF3271D2"/>
      <name val="Arial Narrow"/>
      <family val="2"/>
    </font>
    <font>
      <sz val="11"/>
      <color rgb="FF000000"/>
      <name val="Arial Narrow"/>
      <family val="2"/>
    </font>
    <font>
      <i/>
      <sz val="10"/>
      <color rgb="FFFF0000"/>
      <name val="Open Sans"/>
      <charset val="134"/>
    </font>
    <font>
      <sz val="9"/>
      <color rgb="FF000000"/>
      <name val="Open Sans"/>
      <charset val="134"/>
    </font>
    <font>
      <b/>
      <vertAlign val="superscript"/>
      <sz val="10"/>
      <color rgb="FF000000"/>
      <name val="Open Sans"/>
      <charset val="134"/>
    </font>
    <font>
      <i/>
      <sz val="10"/>
      <color rgb="FF3271D2"/>
      <name val="Open Sans"/>
      <charset val="134"/>
    </font>
    <font>
      <b/>
      <vertAlign val="superscript"/>
      <sz val="9"/>
      <color rgb="FF000000"/>
      <name val="Open Sans"/>
      <charset val="134"/>
    </font>
    <font>
      <vertAlign val="superscript"/>
      <sz val="10"/>
      <color rgb="FF000000"/>
      <name val="Open Sans"/>
      <charset val="134"/>
    </font>
    <font>
      <sz val="8"/>
      <color rgb="FF947131"/>
      <name val="Open Sans"/>
      <charset val="134"/>
    </font>
    <font>
      <sz val="8"/>
      <color rgb="FF000000"/>
      <name val="Open Sans"/>
      <charset val="134"/>
    </font>
    <font>
      <sz val="12"/>
      <color rgb="FF3271D2"/>
      <name val="Open Sans"/>
      <charset val="134"/>
    </font>
    <font>
      <b/>
      <sz val="12"/>
      <color rgb="FF000000"/>
      <name val="Open Sans"/>
    </font>
    <font>
      <u/>
      <sz val="10"/>
      <color theme="10"/>
      <name val="Aptos Narrow"/>
      <family val="2"/>
      <scheme val="minor"/>
    </font>
    <font>
      <b/>
      <sz val="20"/>
      <color rgb="FF4472C4"/>
      <name val="Open Sans"/>
      <charset val="134"/>
    </font>
    <font>
      <b/>
      <sz val="14"/>
      <color rgb="FF132E57"/>
      <name val="Open Sans"/>
      <charset val="134"/>
    </font>
    <font>
      <b/>
      <sz val="11"/>
      <color rgb="FF000000"/>
      <name val="Open Sans"/>
      <charset val="134"/>
    </font>
    <font>
      <b/>
      <sz val="11"/>
      <color rgb="FF000000"/>
      <name val="Open Sans"/>
    </font>
    <font>
      <sz val="11"/>
      <color theme="0"/>
      <name val="Open Sans"/>
      <charset val="134"/>
    </font>
    <font>
      <sz val="12"/>
      <color theme="0"/>
      <name val="Open Sans"/>
      <charset val="134"/>
    </font>
  </fonts>
  <fills count="7">
    <fill>
      <patternFill patternType="none"/>
    </fill>
    <fill>
      <patternFill patternType="gray125"/>
    </fill>
    <fill>
      <patternFill patternType="solid">
        <fgColor rgb="FFE7F2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6F6F6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3271D2"/>
      </top>
      <bottom/>
      <diagonal/>
    </border>
    <border>
      <left/>
      <right/>
      <top/>
      <bottom style="medium">
        <color rgb="FF3271D2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947131"/>
      </left>
      <right/>
      <top style="thin">
        <color rgb="FF947131"/>
      </top>
      <bottom style="thin">
        <color rgb="FF947131"/>
      </bottom>
      <diagonal/>
    </border>
    <border>
      <left/>
      <right/>
      <top style="thin">
        <color rgb="FF947131"/>
      </top>
      <bottom style="thin">
        <color rgb="FF947131"/>
      </bottom>
      <diagonal/>
    </border>
    <border>
      <left/>
      <right/>
      <top style="medium">
        <color rgb="FF3271D2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rgb="FF0070C0"/>
      </top>
      <bottom/>
      <diagonal/>
    </border>
    <border>
      <left style="thick">
        <color rgb="FF132E57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34" fillId="0" borderId="0" applyNumberFormat="0" applyFill="0" applyBorder="0" applyAlignment="0" applyProtection="0"/>
  </cellStyleXfs>
  <cellXfs count="334">
    <xf numFmtId="0" fontId="0" fillId="0" borderId="0" xfId="0"/>
    <xf numFmtId="0" fontId="1" fillId="0" borderId="0" xfId="0" applyFont="1"/>
    <xf numFmtId="167" fontId="1" fillId="0" borderId="0" xfId="0" applyNumberFormat="1" applyFont="1" applyProtection="1">
      <protection locked="0"/>
    </xf>
    <xf numFmtId="168" fontId="2" fillId="2" borderId="0" xfId="0" applyNumberFormat="1" applyFont="1" applyFill="1" applyAlignment="1">
      <alignment vertical="center"/>
    </xf>
    <xf numFmtId="168" fontId="3" fillId="2" borderId="0" xfId="0" applyNumberFormat="1" applyFont="1" applyFill="1" applyAlignment="1">
      <alignment vertical="center"/>
    </xf>
    <xf numFmtId="168" fontId="4" fillId="2" borderId="0" xfId="0" applyNumberFormat="1" applyFont="1" applyFill="1" applyAlignment="1">
      <alignment vertical="center"/>
    </xf>
    <xf numFmtId="169" fontId="3" fillId="2" borderId="0" xfId="0" applyNumberFormat="1" applyFont="1" applyFill="1" applyAlignment="1">
      <alignment horizontal="right"/>
    </xf>
    <xf numFmtId="0" fontId="5" fillId="0" borderId="0" xfId="0" applyFont="1" applyAlignment="1">
      <alignment horizontal="left"/>
    </xf>
    <xf numFmtId="168" fontId="6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168" fontId="4" fillId="0" borderId="0" xfId="0" applyNumberFormat="1" applyFont="1" applyAlignment="1">
      <alignment vertical="center"/>
    </xf>
    <xf numFmtId="169" fontId="3" fillId="0" borderId="0" xfId="0" applyNumberFormat="1" applyFont="1" applyAlignment="1">
      <alignment horizontal="right"/>
    </xf>
    <xf numFmtId="170" fontId="7" fillId="0" borderId="0" xfId="0" applyNumberFormat="1" applyFont="1" applyAlignment="1">
      <alignment vertical="center"/>
    </xf>
    <xf numFmtId="0" fontId="8" fillId="0" borderId="0" xfId="0" applyFont="1"/>
    <xf numFmtId="169" fontId="8" fillId="0" borderId="0" xfId="0" applyNumberFormat="1" applyFont="1" applyAlignment="1">
      <alignment horizontal="right"/>
    </xf>
    <xf numFmtId="169" fontId="9" fillId="0" borderId="0" xfId="0" applyNumberFormat="1" applyFont="1" applyAlignment="1">
      <alignment horizontal="right"/>
    </xf>
    <xf numFmtId="171" fontId="8" fillId="0" borderId="1" xfId="0" applyNumberFormat="1" applyFont="1" applyBorder="1" applyAlignment="1">
      <alignment horizontal="right" vertical="center"/>
    </xf>
    <xf numFmtId="0" fontId="10" fillId="0" borderId="0" xfId="0" applyFont="1"/>
    <xf numFmtId="0" fontId="8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172" fontId="1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indent="1"/>
    </xf>
    <xf numFmtId="0" fontId="14" fillId="3" borderId="0" xfId="0" applyFont="1" applyFill="1" applyAlignment="1">
      <alignment horizontal="center" vertical="center"/>
    </xf>
    <xf numFmtId="0" fontId="15" fillId="0" borderId="0" xfId="0" applyFont="1"/>
    <xf numFmtId="173" fontId="8" fillId="4" borderId="2" xfId="0" applyNumberFormat="1" applyFont="1" applyFill="1" applyBorder="1" applyAlignment="1">
      <alignment vertical="center"/>
    </xf>
    <xf numFmtId="173" fontId="8" fillId="4" borderId="3" xfId="0" applyNumberFormat="1" applyFont="1" applyFill="1" applyBorder="1" applyAlignment="1">
      <alignment vertical="center"/>
    </xf>
    <xf numFmtId="173" fontId="8" fillId="4" borderId="4" xfId="0" applyNumberFormat="1" applyFont="1" applyFill="1" applyBorder="1" applyAlignment="1">
      <alignment vertical="center"/>
    </xf>
    <xf numFmtId="174" fontId="11" fillId="0" borderId="0" xfId="0" applyNumberFormat="1" applyFont="1" applyAlignment="1">
      <alignment vertical="center"/>
    </xf>
    <xf numFmtId="174" fontId="12" fillId="0" borderId="0" xfId="0" applyNumberFormat="1" applyFont="1" applyAlignment="1">
      <alignment horizontal="right" vertical="center"/>
    </xf>
    <xf numFmtId="174" fontId="13" fillId="0" borderId="0" xfId="0" applyNumberFormat="1" applyFont="1" applyAlignment="1">
      <alignment horizontal="right" vertical="center"/>
    </xf>
    <xf numFmtId="174" fontId="10" fillId="0" borderId="0" xfId="0" applyNumberFormat="1" applyFont="1"/>
    <xf numFmtId="0" fontId="14" fillId="0" borderId="0" xfId="0" applyFont="1" applyAlignment="1">
      <alignment horizontal="left" vertical="center" indent="2"/>
    </xf>
    <xf numFmtId="173" fontId="14" fillId="0" borderId="5" xfId="0" applyNumberFormat="1" applyFont="1" applyBorder="1" applyAlignment="1">
      <alignment vertical="center"/>
    </xf>
    <xf numFmtId="173" fontId="14" fillId="0" borderId="6" xfId="0" applyNumberFormat="1" applyFont="1" applyBorder="1" applyAlignment="1">
      <alignment vertical="center"/>
    </xf>
    <xf numFmtId="173" fontId="14" fillId="0" borderId="7" xfId="0" applyNumberFormat="1" applyFont="1" applyBorder="1" applyAlignment="1">
      <alignment vertical="center"/>
    </xf>
    <xf numFmtId="173" fontId="14" fillId="0" borderId="8" xfId="0" applyNumberFormat="1" applyFont="1" applyBorder="1" applyAlignment="1">
      <alignment vertical="center"/>
    </xf>
    <xf numFmtId="173" fontId="14" fillId="0" borderId="0" xfId="0" applyNumberFormat="1" applyFont="1" applyAlignment="1">
      <alignment vertical="center"/>
    </xf>
    <xf numFmtId="173" fontId="14" fillId="0" borderId="9" xfId="0" applyNumberFormat="1" applyFont="1" applyBorder="1" applyAlignment="1">
      <alignment vertical="center"/>
    </xf>
    <xf numFmtId="173" fontId="14" fillId="0" borderId="10" xfId="0" applyNumberFormat="1" applyFont="1" applyBorder="1" applyAlignment="1">
      <alignment vertical="center"/>
    </xf>
    <xf numFmtId="173" fontId="14" fillId="0" borderId="11" xfId="0" applyNumberFormat="1" applyFont="1" applyBorder="1" applyAlignment="1">
      <alignment vertical="center"/>
    </xf>
    <xf numFmtId="173" fontId="14" fillId="0" borderId="12" xfId="0" applyNumberFormat="1" applyFont="1" applyBorder="1" applyAlignment="1">
      <alignment vertical="center"/>
    </xf>
    <xf numFmtId="0" fontId="11" fillId="0" borderId="0" xfId="0" applyFont="1" applyAlignment="1">
      <alignment horizontal="right" vertical="center"/>
    </xf>
    <xf numFmtId="173" fontId="11" fillId="0" borderId="0" xfId="0" applyNumberFormat="1" applyFont="1" applyAlignment="1">
      <alignment vertical="center"/>
    </xf>
    <xf numFmtId="173" fontId="12" fillId="0" borderId="0" xfId="0" applyNumberFormat="1" applyFont="1" applyAlignment="1">
      <alignment horizontal="right" vertical="center"/>
    </xf>
    <xf numFmtId="173" fontId="13" fillId="0" borderId="0" xfId="0" applyNumberFormat="1" applyFont="1" applyAlignment="1">
      <alignment horizontal="right" vertical="center"/>
    </xf>
    <xf numFmtId="173" fontId="10" fillId="0" borderId="0" xfId="0" applyNumberFormat="1" applyFont="1"/>
    <xf numFmtId="0" fontId="11" fillId="0" borderId="0" xfId="0" applyFont="1" applyAlignment="1">
      <alignment horizontal="left" vertical="center" indent="2"/>
    </xf>
    <xf numFmtId="0" fontId="16" fillId="0" borderId="0" xfId="0" applyFont="1" applyAlignment="1">
      <alignment horizontal="left"/>
    </xf>
    <xf numFmtId="169" fontId="17" fillId="0" borderId="0" xfId="0" applyNumberFormat="1" applyFont="1" applyAlignment="1">
      <alignment horizontal="right" vertical="center"/>
    </xf>
    <xf numFmtId="175" fontId="8" fillId="4" borderId="2" xfId="0" applyNumberFormat="1" applyFont="1" applyFill="1" applyBorder="1" applyAlignment="1">
      <alignment horizontal="right" vertical="center"/>
    </xf>
    <xf numFmtId="175" fontId="8" fillId="4" borderId="3" xfId="0" applyNumberFormat="1" applyFont="1" applyFill="1" applyBorder="1" applyAlignment="1">
      <alignment horizontal="right" vertical="center"/>
    </xf>
    <xf numFmtId="175" fontId="8" fillId="4" borderId="4" xfId="0" applyNumberFormat="1" applyFont="1" applyFill="1" applyBorder="1" applyAlignment="1">
      <alignment horizontal="right" vertical="center"/>
    </xf>
    <xf numFmtId="175" fontId="11" fillId="0" borderId="0" xfId="0" applyNumberFormat="1" applyFont="1" applyAlignment="1">
      <alignment horizontal="right" vertical="center"/>
    </xf>
    <xf numFmtId="175" fontId="12" fillId="0" borderId="0" xfId="0" applyNumberFormat="1" applyFont="1" applyAlignment="1">
      <alignment horizontal="right" vertical="center"/>
    </xf>
    <xf numFmtId="175" fontId="13" fillId="0" borderId="0" xfId="0" applyNumberFormat="1" applyFont="1" applyAlignment="1">
      <alignment horizontal="right" vertical="center"/>
    </xf>
    <xf numFmtId="175" fontId="10" fillId="0" borderId="0" xfId="0" applyNumberFormat="1" applyFont="1" applyAlignment="1">
      <alignment horizontal="right"/>
    </xf>
    <xf numFmtId="175" fontId="14" fillId="0" borderId="5" xfId="0" applyNumberFormat="1" applyFont="1" applyBorder="1" applyAlignment="1">
      <alignment horizontal="right" vertical="center"/>
    </xf>
    <xf numFmtId="175" fontId="14" fillId="0" borderId="6" xfId="0" applyNumberFormat="1" applyFont="1" applyBorder="1" applyAlignment="1">
      <alignment horizontal="right" vertical="center"/>
    </xf>
    <xf numFmtId="175" fontId="14" fillId="0" borderId="7" xfId="0" applyNumberFormat="1" applyFont="1" applyBorder="1" applyAlignment="1">
      <alignment horizontal="right" vertical="center"/>
    </xf>
    <xf numFmtId="175" fontId="14" fillId="0" borderId="8" xfId="0" applyNumberFormat="1" applyFont="1" applyBorder="1" applyAlignment="1">
      <alignment horizontal="right" vertical="center"/>
    </xf>
    <xf numFmtId="175" fontId="14" fillId="0" borderId="0" xfId="0" applyNumberFormat="1" applyFont="1" applyAlignment="1">
      <alignment horizontal="right" vertical="center"/>
    </xf>
    <xf numFmtId="175" fontId="14" fillId="0" borderId="9" xfId="0" applyNumberFormat="1" applyFont="1" applyBorder="1" applyAlignment="1">
      <alignment horizontal="right" vertical="center"/>
    </xf>
    <xf numFmtId="175" fontId="14" fillId="0" borderId="10" xfId="0" applyNumberFormat="1" applyFont="1" applyBorder="1" applyAlignment="1">
      <alignment horizontal="right" vertical="center"/>
    </xf>
    <xf numFmtId="175" fontId="14" fillId="0" borderId="11" xfId="0" applyNumberFormat="1" applyFont="1" applyBorder="1" applyAlignment="1">
      <alignment horizontal="right" vertical="center"/>
    </xf>
    <xf numFmtId="175" fontId="14" fillId="0" borderId="12" xfId="0" applyNumberFormat="1" applyFont="1" applyBorder="1" applyAlignment="1">
      <alignment horizontal="right" vertical="center"/>
    </xf>
    <xf numFmtId="173" fontId="14" fillId="0" borderId="0" xfId="0" applyNumberFormat="1" applyFont="1" applyAlignment="1">
      <alignment horizontal="right" vertical="center"/>
    </xf>
    <xf numFmtId="0" fontId="10" fillId="0" borderId="11" xfId="0" applyFont="1" applyBorder="1"/>
    <xf numFmtId="0" fontId="11" fillId="0" borderId="11" xfId="0" applyFont="1" applyBorder="1" applyAlignment="1">
      <alignment vertical="center"/>
    </xf>
    <xf numFmtId="174" fontId="14" fillId="0" borderId="11" xfId="0" applyNumberFormat="1" applyFont="1" applyBorder="1" applyAlignment="1">
      <alignment vertical="center"/>
    </xf>
    <xf numFmtId="174" fontId="14" fillId="0" borderId="0" xfId="0" applyNumberFormat="1" applyFont="1" applyAlignment="1">
      <alignment vertical="center"/>
    </xf>
    <xf numFmtId="167" fontId="18" fillId="0" borderId="0" xfId="0" applyNumberFormat="1" applyFont="1" applyProtection="1">
      <protection locked="0"/>
    </xf>
    <xf numFmtId="167" fontId="18" fillId="0" borderId="0" xfId="0" applyNumberFormat="1" applyFont="1" applyAlignment="1" applyProtection="1">
      <alignment horizontal="center"/>
      <protection locked="0"/>
    </xf>
    <xf numFmtId="167" fontId="18" fillId="0" borderId="0" xfId="0" applyNumberFormat="1" applyFont="1" applyAlignment="1">
      <alignment horizontal="right"/>
    </xf>
    <xf numFmtId="0" fontId="11" fillId="0" borderId="0" xfId="0" applyFont="1" applyAlignment="1">
      <alignment horizontal="left" indent="2"/>
    </xf>
    <xf numFmtId="0" fontId="19" fillId="0" borderId="0" xfId="0" applyFont="1" applyAlignment="1">
      <alignment horizontal="center" vertical="center"/>
    </xf>
    <xf numFmtId="173" fontId="14" fillId="0" borderId="5" xfId="0" applyNumberFormat="1" applyFont="1" applyBorder="1" applyAlignment="1">
      <alignment horizontal="right" vertical="center"/>
    </xf>
    <xf numFmtId="173" fontId="14" fillId="0" borderId="6" xfId="0" applyNumberFormat="1" applyFont="1" applyBorder="1" applyAlignment="1">
      <alignment horizontal="right" vertical="center"/>
    </xf>
    <xf numFmtId="173" fontId="14" fillId="0" borderId="7" xfId="0" applyNumberFormat="1" applyFont="1" applyBorder="1" applyAlignment="1">
      <alignment horizontal="right" vertical="center"/>
    </xf>
    <xf numFmtId="168" fontId="2" fillId="0" borderId="0" xfId="0" applyNumberFormat="1" applyFont="1" applyAlignment="1">
      <alignment vertical="center"/>
    </xf>
    <xf numFmtId="0" fontId="8" fillId="0" borderId="13" xfId="0" applyFont="1" applyBorder="1"/>
    <xf numFmtId="0" fontId="1" fillId="0" borderId="13" xfId="0" applyFont="1" applyBorder="1"/>
    <xf numFmtId="0" fontId="11" fillId="0" borderId="14" xfId="0" applyFont="1" applyBorder="1" applyAlignment="1">
      <alignment horizontal="left" vertical="center" indent="1"/>
    </xf>
    <xf numFmtId="0" fontId="11" fillId="0" borderId="14" xfId="0" applyFont="1" applyBorder="1" applyAlignment="1">
      <alignment vertical="center"/>
    </xf>
    <xf numFmtId="0" fontId="19" fillId="0" borderId="14" xfId="0" applyFont="1" applyBorder="1" applyAlignment="1">
      <alignment horizontal="center" vertical="center"/>
    </xf>
    <xf numFmtId="176" fontId="14" fillId="0" borderId="14" xfId="0" applyNumberFormat="1" applyFont="1" applyBorder="1" applyAlignment="1">
      <alignment horizontal="right" vertical="center"/>
    </xf>
    <xf numFmtId="0" fontId="11" fillId="0" borderId="0" xfId="0" applyFont="1" applyAlignment="1">
      <alignment horizontal="left" indent="1"/>
    </xf>
    <xf numFmtId="177" fontId="14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 indent="1"/>
    </xf>
    <xf numFmtId="167" fontId="12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175" fontId="14" fillId="0" borderId="0" xfId="0" applyNumberFormat="1" applyFont="1" applyAlignment="1">
      <alignment vertical="center"/>
    </xf>
    <xf numFmtId="167" fontId="12" fillId="0" borderId="0" xfId="0" applyNumberFormat="1" applyFont="1" applyAlignment="1">
      <alignment horizontal="right" vertical="center"/>
    </xf>
    <xf numFmtId="167" fontId="18" fillId="0" borderId="0" xfId="0" applyNumberFormat="1" applyFont="1" applyAlignment="1" applyProtection="1">
      <alignment vertical="center"/>
      <protection locked="0"/>
    </xf>
    <xf numFmtId="167" fontId="12" fillId="0" borderId="0" xfId="0" applyNumberFormat="1" applyFont="1" applyAlignment="1">
      <alignment horizontal="right"/>
    </xf>
    <xf numFmtId="175" fontId="14" fillId="0" borderId="0" xfId="0" applyNumberFormat="1" applyFont="1"/>
    <xf numFmtId="0" fontId="20" fillId="0" borderId="0" xfId="0" applyFont="1"/>
    <xf numFmtId="173" fontId="14" fillId="0" borderId="14" xfId="0" applyNumberFormat="1" applyFont="1" applyBorder="1" applyAlignment="1">
      <alignment vertical="center"/>
    </xf>
    <xf numFmtId="177" fontId="14" fillId="0" borderId="14" xfId="0" applyNumberFormat="1" applyFont="1" applyBorder="1" applyAlignment="1">
      <alignment vertical="center"/>
    </xf>
    <xf numFmtId="178" fontId="14" fillId="0" borderId="0" xfId="0" applyNumberFormat="1" applyFont="1" applyAlignment="1">
      <alignment vertical="center"/>
    </xf>
    <xf numFmtId="168" fontId="21" fillId="0" borderId="0" xfId="0" applyNumberFormat="1" applyFont="1" applyAlignment="1">
      <alignment vertical="center"/>
    </xf>
    <xf numFmtId="169" fontId="8" fillId="0" borderId="15" xfId="0" applyNumberFormat="1" applyFont="1" applyBorder="1" applyAlignment="1">
      <alignment horizontal="right" vertical="center"/>
    </xf>
    <xf numFmtId="171" fontId="8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173" fontId="14" fillId="0" borderId="16" xfId="0" applyNumberFormat="1" applyFont="1" applyBorder="1"/>
    <xf numFmtId="173" fontId="14" fillId="0" borderId="17" xfId="0" applyNumberFormat="1" applyFont="1" applyBorder="1"/>
    <xf numFmtId="173" fontId="11" fillId="0" borderId="17" xfId="0" applyNumberFormat="1" applyFont="1" applyBorder="1"/>
    <xf numFmtId="173" fontId="11" fillId="0" borderId="18" xfId="0" applyNumberFormat="1" applyFont="1" applyBorder="1"/>
    <xf numFmtId="173" fontId="14" fillId="0" borderId="0" xfId="0" applyNumberFormat="1" applyFont="1"/>
    <xf numFmtId="175" fontId="14" fillId="0" borderId="0" xfId="0" applyNumberFormat="1" applyFont="1" applyAlignment="1">
      <alignment horizontal="right"/>
    </xf>
    <xf numFmtId="175" fontId="11" fillId="4" borderId="0" xfId="0" applyNumberFormat="1" applyFont="1" applyFill="1" applyAlignment="1">
      <alignment horizontal="right"/>
    </xf>
    <xf numFmtId="175" fontId="14" fillId="0" borderId="11" xfId="0" applyNumberFormat="1" applyFont="1" applyBorder="1" applyAlignment="1">
      <alignment horizontal="right"/>
    </xf>
    <xf numFmtId="175" fontId="11" fillId="4" borderId="11" xfId="0" applyNumberFormat="1" applyFont="1" applyFill="1" applyBorder="1" applyAlignment="1">
      <alignment horizontal="right"/>
    </xf>
    <xf numFmtId="175" fontId="9" fillId="0" borderId="0" xfId="0" applyNumberFormat="1" applyFont="1" applyAlignment="1">
      <alignment horizontal="right"/>
    </xf>
    <xf numFmtId="175" fontId="8" fillId="4" borderId="0" xfId="0" applyNumberFormat="1" applyFont="1" applyFill="1" applyAlignment="1">
      <alignment horizontal="right"/>
    </xf>
    <xf numFmtId="175" fontId="8" fillId="0" borderId="0" xfId="0" applyNumberFormat="1" applyFont="1" applyAlignment="1">
      <alignment horizontal="right"/>
    </xf>
    <xf numFmtId="175" fontId="11" fillId="0" borderId="0" xfId="0" applyNumberFormat="1" applyFont="1" applyAlignment="1">
      <alignment horizontal="right"/>
    </xf>
    <xf numFmtId="175" fontId="9" fillId="0" borderId="19" xfId="0" applyNumberFormat="1" applyFont="1" applyBorder="1" applyAlignment="1">
      <alignment horizontal="right" vertical="center"/>
    </xf>
    <xf numFmtId="175" fontId="8" fillId="4" borderId="19" xfId="0" applyNumberFormat="1" applyFont="1" applyFill="1" applyBorder="1" applyAlignment="1">
      <alignment horizontal="right" vertical="center"/>
    </xf>
    <xf numFmtId="179" fontId="8" fillId="0" borderId="0" xfId="0" applyNumberFormat="1" applyFont="1"/>
    <xf numFmtId="0" fontId="8" fillId="0" borderId="11" xfId="0" applyFont="1" applyBorder="1"/>
    <xf numFmtId="0" fontId="11" fillId="0" borderId="11" xfId="0" applyFont="1" applyBorder="1"/>
    <xf numFmtId="179" fontId="8" fillId="0" borderId="11" xfId="0" applyNumberFormat="1" applyFont="1" applyBorder="1"/>
    <xf numFmtId="0" fontId="19" fillId="0" borderId="0" xfId="0" applyFont="1" applyAlignment="1">
      <alignment horizontal="center"/>
    </xf>
    <xf numFmtId="180" fontId="11" fillId="0" borderId="0" xfId="0" applyNumberFormat="1" applyFont="1"/>
    <xf numFmtId="180" fontId="13" fillId="0" borderId="0" xfId="0" applyNumberFormat="1" applyFont="1" applyAlignment="1">
      <alignment horizontal="right"/>
    </xf>
    <xf numFmtId="180" fontId="11" fillId="0" borderId="0" xfId="0" applyNumberFormat="1" applyFont="1" applyAlignment="1">
      <alignment horizontal="right"/>
    </xf>
    <xf numFmtId="173" fontId="11" fillId="0" borderId="0" xfId="0" applyNumberFormat="1" applyFont="1"/>
    <xf numFmtId="180" fontId="14" fillId="0" borderId="0" xfId="0" applyNumberFormat="1" applyFont="1"/>
    <xf numFmtId="180" fontId="11" fillId="4" borderId="0" xfId="0" applyNumberFormat="1" applyFont="1" applyFill="1"/>
    <xf numFmtId="180" fontId="14" fillId="0" borderId="6" xfId="0" applyNumberFormat="1" applyFont="1" applyBorder="1"/>
    <xf numFmtId="180" fontId="11" fillId="4" borderId="6" xfId="0" applyNumberFormat="1" applyFont="1" applyFill="1" applyBorder="1"/>
    <xf numFmtId="180" fontId="22" fillId="0" borderId="0" xfId="0" applyNumberFormat="1" applyFont="1"/>
    <xf numFmtId="0" fontId="23" fillId="0" borderId="0" xfId="0" applyFont="1"/>
    <xf numFmtId="180" fontId="23" fillId="0" borderId="0" xfId="0" applyNumberFormat="1" applyFont="1"/>
    <xf numFmtId="180" fontId="1" fillId="0" borderId="0" xfId="0" applyNumberFormat="1" applyFont="1"/>
    <xf numFmtId="180" fontId="9" fillId="0" borderId="19" xfId="0" applyNumberFormat="1" applyFont="1" applyBorder="1" applyAlignment="1">
      <alignment horizontal="right" vertical="center"/>
    </xf>
    <xf numFmtId="180" fontId="8" fillId="4" borderId="19" xfId="0" applyNumberFormat="1" applyFont="1" applyFill="1" applyBorder="1" applyAlignment="1">
      <alignment horizontal="right" vertical="center"/>
    </xf>
    <xf numFmtId="180" fontId="13" fillId="0" borderId="0" xfId="0" applyNumberFormat="1" applyFont="1"/>
    <xf numFmtId="179" fontId="14" fillId="0" borderId="0" xfId="0" applyNumberFormat="1" applyFont="1"/>
    <xf numFmtId="179" fontId="11" fillId="0" borderId="0" xfId="0" applyNumberFormat="1" applyFont="1"/>
    <xf numFmtId="179" fontId="11" fillId="4" borderId="0" xfId="0" applyNumberFormat="1" applyFont="1" applyFill="1"/>
    <xf numFmtId="179" fontId="9" fillId="0" borderId="19" xfId="0" applyNumberFormat="1" applyFont="1" applyBorder="1" applyAlignment="1">
      <alignment horizontal="right" vertical="center"/>
    </xf>
    <xf numFmtId="179" fontId="8" fillId="4" borderId="19" xfId="0" applyNumberFormat="1" applyFont="1" applyFill="1" applyBorder="1" applyAlignment="1">
      <alignment horizontal="right" vertical="center"/>
    </xf>
    <xf numFmtId="179" fontId="14" fillId="0" borderId="6" xfId="0" applyNumberFormat="1" applyFont="1" applyBorder="1"/>
    <xf numFmtId="179" fontId="11" fillId="4" borderId="6" xfId="0" applyNumberFormat="1" applyFont="1" applyFill="1" applyBorder="1"/>
    <xf numFmtId="179" fontId="9" fillId="0" borderId="0" xfId="0" applyNumberFormat="1" applyFont="1"/>
    <xf numFmtId="0" fontId="12" fillId="0" borderId="0" xfId="0" applyFont="1" applyAlignment="1">
      <alignment horizontal="left" indent="1"/>
    </xf>
    <xf numFmtId="175" fontId="12" fillId="0" borderId="0" xfId="0" applyNumberFormat="1" applyFont="1" applyAlignment="1">
      <alignment horizontal="right"/>
    </xf>
    <xf numFmtId="181" fontId="14" fillId="0" borderId="0" xfId="0" applyNumberFormat="1" applyFont="1"/>
    <xf numFmtId="173" fontId="11" fillId="4" borderId="0" xfId="0" applyNumberFormat="1" applyFont="1" applyFill="1"/>
    <xf numFmtId="175" fontId="11" fillId="0" borderId="0" xfId="0" applyNumberFormat="1" applyFont="1"/>
    <xf numFmtId="173" fontId="11" fillId="0" borderId="6" xfId="0" applyNumberFormat="1" applyFont="1" applyBorder="1"/>
    <xf numFmtId="0" fontId="1" fillId="0" borderId="11" xfId="0" applyFont="1" applyBorder="1"/>
    <xf numFmtId="168" fontId="3" fillId="0" borderId="11" xfId="0" applyNumberFormat="1" applyFont="1" applyBorder="1" applyAlignment="1">
      <alignment vertical="center"/>
    </xf>
    <xf numFmtId="0" fontId="19" fillId="0" borderId="11" xfId="0" applyFont="1" applyBorder="1" applyAlignment="1">
      <alignment horizontal="center"/>
    </xf>
    <xf numFmtId="169" fontId="8" fillId="0" borderId="11" xfId="0" applyNumberFormat="1" applyFont="1" applyBorder="1" applyAlignment="1">
      <alignment horizontal="right"/>
    </xf>
    <xf numFmtId="175" fontId="11" fillId="0" borderId="11" xfId="0" applyNumberFormat="1" applyFont="1" applyBorder="1"/>
    <xf numFmtId="175" fontId="11" fillId="0" borderId="6" xfId="0" applyNumberFormat="1" applyFont="1" applyBorder="1"/>
    <xf numFmtId="174" fontId="11" fillId="0" borderId="0" xfId="0" applyNumberFormat="1" applyFont="1"/>
    <xf numFmtId="173" fontId="11" fillId="0" borderId="11" xfId="0" applyNumberFormat="1" applyFont="1" applyBorder="1"/>
    <xf numFmtId="173" fontId="11" fillId="4" borderId="11" xfId="0" applyNumberFormat="1" applyFont="1" applyFill="1" applyBorder="1"/>
    <xf numFmtId="178" fontId="14" fillId="0" borderId="0" xfId="0" applyNumberFormat="1" applyFont="1"/>
    <xf numFmtId="178" fontId="11" fillId="0" borderId="0" xfId="0" applyNumberFormat="1" applyFont="1"/>
    <xf numFmtId="175" fontId="11" fillId="0" borderId="19" xfId="0" applyNumberFormat="1" applyFont="1" applyBorder="1" applyAlignment="1">
      <alignment horizontal="right" vertical="center"/>
    </xf>
    <xf numFmtId="182" fontId="19" fillId="0" borderId="0" xfId="0" applyNumberFormat="1" applyFont="1" applyAlignment="1">
      <alignment horizontal="left" indent="1"/>
    </xf>
    <xf numFmtId="183" fontId="11" fillId="0" borderId="20" xfId="0" applyNumberFormat="1" applyFont="1" applyBorder="1"/>
    <xf numFmtId="183" fontId="11" fillId="0" borderId="21" xfId="0" applyNumberFormat="1" applyFont="1" applyBorder="1"/>
    <xf numFmtId="175" fontId="11" fillId="0" borderId="5" xfId="0" applyNumberFormat="1" applyFont="1" applyBorder="1"/>
    <xf numFmtId="175" fontId="11" fillId="0" borderId="7" xfId="0" applyNumberFormat="1" applyFont="1" applyBorder="1"/>
    <xf numFmtId="173" fontId="11" fillId="0" borderId="10" xfId="0" applyNumberFormat="1" applyFont="1" applyBorder="1"/>
    <xf numFmtId="173" fontId="11" fillId="0" borderId="12" xfId="0" applyNumberFormat="1" applyFont="1" applyBorder="1"/>
    <xf numFmtId="180" fontId="24" fillId="0" borderId="0" xfId="0" applyNumberFormat="1" applyFont="1" applyAlignment="1">
      <alignment horizontal="centerContinuous"/>
    </xf>
    <xf numFmtId="178" fontId="14" fillId="0" borderId="11" xfId="0" applyNumberFormat="1" applyFont="1" applyBorder="1"/>
    <xf numFmtId="178" fontId="11" fillId="0" borderId="11" xfId="0" applyNumberFormat="1" applyFont="1" applyBorder="1"/>
    <xf numFmtId="0" fontId="11" fillId="0" borderId="11" xfId="0" applyFont="1" applyBorder="1" applyAlignment="1">
      <alignment horizontal="left"/>
    </xf>
    <xf numFmtId="180" fontId="11" fillId="0" borderId="11" xfId="0" applyNumberFormat="1" applyFont="1" applyBorder="1"/>
    <xf numFmtId="0" fontId="12" fillId="0" borderId="0" xfId="0" applyFont="1" applyAlignment="1">
      <alignment horizontal="left"/>
    </xf>
    <xf numFmtId="175" fontId="14" fillId="0" borderId="11" xfId="0" applyNumberFormat="1" applyFont="1" applyBorder="1"/>
    <xf numFmtId="174" fontId="11" fillId="0" borderId="11" xfId="0" applyNumberFormat="1" applyFont="1" applyBorder="1"/>
    <xf numFmtId="174" fontId="14" fillId="0" borderId="11" xfId="0" applyNumberFormat="1" applyFont="1" applyBorder="1"/>
    <xf numFmtId="174" fontId="14" fillId="0" borderId="0" xfId="0" applyNumberFormat="1" applyFont="1"/>
    <xf numFmtId="168" fontId="11" fillId="2" borderId="0" xfId="0" applyNumberFormat="1" applyFont="1" applyFill="1" applyAlignment="1">
      <alignment vertical="center"/>
    </xf>
    <xf numFmtId="184" fontId="7" fillId="2" borderId="0" xfId="0" applyNumberFormat="1" applyFont="1" applyFill="1" applyAlignment="1">
      <alignment horizontal="centerContinuous"/>
    </xf>
    <xf numFmtId="184" fontId="8" fillId="2" borderId="0" xfId="0" applyNumberFormat="1" applyFont="1" applyFill="1" applyAlignment="1">
      <alignment horizontal="centerContinuous"/>
    </xf>
    <xf numFmtId="175" fontId="11" fillId="0" borderId="8" xfId="0" applyNumberFormat="1" applyFont="1" applyBorder="1"/>
    <xf numFmtId="175" fontId="11" fillId="0" borderId="9" xfId="0" applyNumberFormat="1" applyFont="1" applyBorder="1"/>
    <xf numFmtId="175" fontId="11" fillId="0" borderId="10" xfId="0" applyNumberFormat="1" applyFont="1" applyBorder="1"/>
    <xf numFmtId="175" fontId="11" fillId="0" borderId="12" xfId="0" applyNumberFormat="1" applyFont="1" applyBorder="1"/>
    <xf numFmtId="0" fontId="7" fillId="0" borderId="0" xfId="0" applyFont="1" applyAlignment="1">
      <alignment horizontal="center"/>
    </xf>
    <xf numFmtId="185" fontId="11" fillId="0" borderId="0" xfId="0" applyNumberFormat="1" applyFont="1"/>
    <xf numFmtId="186" fontId="11" fillId="0" borderId="0" xfId="0" applyNumberFormat="1" applyFont="1"/>
    <xf numFmtId="187" fontId="25" fillId="0" borderId="0" xfId="0" applyNumberFormat="1" applyFont="1" applyAlignment="1">
      <alignment horizontal="right"/>
    </xf>
    <xf numFmtId="9" fontId="8" fillId="0" borderId="0" xfId="0" applyNumberFormat="1" applyFont="1" applyAlignment="1">
      <alignment horizontal="right"/>
    </xf>
    <xf numFmtId="49" fontId="11" fillId="0" borderId="0" xfId="0" applyNumberFormat="1" applyFont="1" applyAlignment="1">
      <alignment horizontal="left"/>
    </xf>
    <xf numFmtId="175" fontId="11" fillId="4" borderId="16" xfId="0" applyNumberFormat="1" applyFont="1" applyFill="1" applyBorder="1"/>
    <xf numFmtId="175" fontId="11" fillId="4" borderId="17" xfId="0" applyNumberFormat="1" applyFont="1" applyFill="1" applyBorder="1"/>
    <xf numFmtId="175" fontId="11" fillId="4" borderId="18" xfId="0" applyNumberFormat="1" applyFont="1" applyFill="1" applyBorder="1"/>
    <xf numFmtId="187" fontId="11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Continuous"/>
    </xf>
    <xf numFmtId="171" fontId="8" fillId="0" borderId="0" xfId="0" applyNumberFormat="1" applyFont="1" applyAlignment="1">
      <alignment horizontal="centerContinuous"/>
    </xf>
    <xf numFmtId="168" fontId="21" fillId="0" borderId="0" xfId="0" applyNumberFormat="1" applyFont="1" applyAlignment="1">
      <alignment horizontal="centerContinuous" vertical="center"/>
    </xf>
    <xf numFmtId="0" fontId="11" fillId="0" borderId="5" xfId="0" applyFont="1" applyBorder="1" applyAlignment="1">
      <alignment horizontal="left"/>
    </xf>
    <xf numFmtId="0" fontId="19" fillId="0" borderId="6" xfId="0" applyFont="1" applyBorder="1" applyAlignment="1">
      <alignment horizontal="center"/>
    </xf>
    <xf numFmtId="178" fontId="11" fillId="0" borderId="7" xfId="0" applyNumberFormat="1" applyFont="1" applyBorder="1" applyAlignment="1">
      <alignment horizontal="right"/>
    </xf>
    <xf numFmtId="169" fontId="8" fillId="0" borderId="0" xfId="0" applyNumberFormat="1" applyFont="1" applyAlignment="1">
      <alignment horizontal="left"/>
    </xf>
    <xf numFmtId="189" fontId="8" fillId="0" borderId="0" xfId="0" applyNumberFormat="1" applyFont="1" applyAlignment="1">
      <alignment horizontal="right"/>
    </xf>
    <xf numFmtId="0" fontId="11" fillId="0" borderId="10" xfId="0" applyFont="1" applyBorder="1" applyAlignment="1">
      <alignment horizontal="left"/>
    </xf>
    <xf numFmtId="175" fontId="11" fillId="0" borderId="12" xfId="0" applyNumberFormat="1" applyFont="1" applyBorder="1" applyAlignment="1">
      <alignment horizontal="right"/>
    </xf>
    <xf numFmtId="180" fontId="14" fillId="0" borderId="9" xfId="0" applyNumberFormat="1" applyFont="1" applyBorder="1"/>
    <xf numFmtId="177" fontId="11" fillId="0" borderId="17" xfId="0" applyNumberFormat="1" applyFont="1" applyBorder="1" applyAlignment="1">
      <alignment horizontal="right"/>
    </xf>
    <xf numFmtId="177" fontId="11" fillId="0" borderId="18" xfId="0" applyNumberFormat="1" applyFont="1" applyBorder="1" applyAlignment="1">
      <alignment horizontal="right"/>
    </xf>
    <xf numFmtId="178" fontId="27" fillId="0" borderId="0" xfId="0" applyNumberFormat="1" applyFont="1" applyAlignment="1">
      <alignment horizontal="right"/>
    </xf>
    <xf numFmtId="177" fontId="11" fillId="0" borderId="0" xfId="0" applyNumberFormat="1" applyFont="1" applyAlignment="1">
      <alignment horizontal="right"/>
    </xf>
    <xf numFmtId="190" fontId="8" fillId="0" borderId="0" xfId="0" applyNumberFormat="1" applyFont="1" applyAlignment="1">
      <alignment horizontal="right"/>
    </xf>
    <xf numFmtId="171" fontId="8" fillId="0" borderId="5" xfId="0" applyNumberFormat="1" applyFont="1" applyBorder="1" applyAlignment="1">
      <alignment horizontal="left"/>
    </xf>
    <xf numFmtId="191" fontId="11" fillId="0" borderId="6" xfId="0" applyNumberFormat="1" applyFont="1" applyBorder="1" applyAlignment="1">
      <alignment horizontal="left"/>
    </xf>
    <xf numFmtId="171" fontId="11" fillId="0" borderId="7" xfId="0" applyNumberFormat="1" applyFont="1" applyBorder="1" applyAlignment="1">
      <alignment horizontal="left"/>
    </xf>
    <xf numFmtId="177" fontId="11" fillId="0" borderId="6" xfId="0" applyNumberFormat="1" applyFont="1" applyBorder="1" applyAlignment="1">
      <alignment horizontal="right"/>
    </xf>
    <xf numFmtId="177" fontId="11" fillId="0" borderId="7" xfId="0" applyNumberFormat="1" applyFont="1" applyBorder="1" applyAlignment="1">
      <alignment horizontal="right"/>
    </xf>
    <xf numFmtId="177" fontId="11" fillId="0" borderId="12" xfId="0" applyNumberFormat="1" applyFont="1" applyBorder="1" applyAlignment="1">
      <alignment horizontal="right"/>
    </xf>
    <xf numFmtId="171" fontId="8" fillId="0" borderId="8" xfId="0" applyNumberFormat="1" applyFont="1" applyBorder="1" applyAlignment="1">
      <alignment horizontal="left"/>
    </xf>
    <xf numFmtId="191" fontId="11" fillId="0" borderId="0" xfId="0" applyNumberFormat="1" applyFont="1" applyAlignment="1">
      <alignment horizontal="left"/>
    </xf>
    <xf numFmtId="171" fontId="11" fillId="0" borderId="9" xfId="0" applyNumberFormat="1" applyFont="1" applyBorder="1" applyAlignment="1">
      <alignment horizontal="left"/>
    </xf>
    <xf numFmtId="177" fontId="11" fillId="0" borderId="9" xfId="0" applyNumberFormat="1" applyFont="1" applyBorder="1" applyAlignment="1">
      <alignment horizontal="right"/>
    </xf>
    <xf numFmtId="171" fontId="8" fillId="0" borderId="10" xfId="0" applyNumberFormat="1" applyFont="1" applyBorder="1" applyAlignment="1">
      <alignment horizontal="left"/>
    </xf>
    <xf numFmtId="191" fontId="11" fillId="0" borderId="11" xfId="0" applyNumberFormat="1" applyFont="1" applyBorder="1" applyAlignment="1">
      <alignment horizontal="left"/>
    </xf>
    <xf numFmtId="171" fontId="11" fillId="0" borderId="12" xfId="0" applyNumberFormat="1" applyFont="1" applyBorder="1" applyAlignment="1">
      <alignment horizontal="left"/>
    </xf>
    <xf numFmtId="177" fontId="11" fillId="0" borderId="11" xfId="0" applyNumberFormat="1" applyFont="1" applyBorder="1" applyAlignment="1">
      <alignment horizontal="right"/>
    </xf>
    <xf numFmtId="180" fontId="11" fillId="0" borderId="6" xfId="0" applyNumberFormat="1" applyFont="1" applyBorder="1" applyAlignment="1">
      <alignment horizontal="left"/>
    </xf>
    <xf numFmtId="180" fontId="11" fillId="0" borderId="7" xfId="0" applyNumberFormat="1" applyFont="1" applyBorder="1" applyAlignment="1">
      <alignment horizontal="left"/>
    </xf>
    <xf numFmtId="175" fontId="11" fillId="0" borderId="6" xfId="0" applyNumberFormat="1" applyFont="1" applyBorder="1" applyAlignment="1">
      <alignment horizontal="right"/>
    </xf>
    <xf numFmtId="175" fontId="11" fillId="0" borderId="7" xfId="0" applyNumberFormat="1" applyFont="1" applyBorder="1" applyAlignment="1">
      <alignment horizontal="right"/>
    </xf>
    <xf numFmtId="180" fontId="11" fillId="0" borderId="0" xfId="0" applyNumberFormat="1" applyFont="1" applyAlignment="1">
      <alignment horizontal="left"/>
    </xf>
    <xf numFmtId="180" fontId="11" fillId="0" borderId="9" xfId="0" applyNumberFormat="1" applyFont="1" applyBorder="1" applyAlignment="1">
      <alignment horizontal="left"/>
    </xf>
    <xf numFmtId="175" fontId="11" fillId="0" borderId="9" xfId="0" applyNumberFormat="1" applyFont="1" applyBorder="1" applyAlignment="1">
      <alignment horizontal="right"/>
    </xf>
    <xf numFmtId="180" fontId="11" fillId="0" borderId="11" xfId="0" applyNumberFormat="1" applyFont="1" applyBorder="1" applyAlignment="1">
      <alignment horizontal="left"/>
    </xf>
    <xf numFmtId="180" fontId="11" fillId="0" borderId="12" xfId="0" applyNumberFormat="1" applyFont="1" applyBorder="1" applyAlignment="1">
      <alignment horizontal="left"/>
    </xf>
    <xf numFmtId="175" fontId="11" fillId="0" borderId="11" xfId="0" applyNumberFormat="1" applyFont="1" applyBorder="1" applyAlignment="1">
      <alignment horizontal="right"/>
    </xf>
    <xf numFmtId="171" fontId="8" fillId="0" borderId="0" xfId="0" applyNumberFormat="1" applyFont="1" applyAlignment="1">
      <alignment horizontal="left"/>
    </xf>
    <xf numFmtId="170" fontId="7" fillId="0" borderId="11" xfId="0" applyNumberFormat="1" applyFont="1" applyBorder="1" applyAlignment="1">
      <alignment vertical="center"/>
    </xf>
    <xf numFmtId="171" fontId="8" fillId="0" borderId="11" xfId="0" applyNumberFormat="1" applyFont="1" applyBorder="1" applyAlignment="1">
      <alignment horizontal="right"/>
    </xf>
    <xf numFmtId="192" fontId="25" fillId="0" borderId="0" xfId="0" applyNumberFormat="1" applyFont="1" applyAlignment="1">
      <alignment horizontal="right"/>
    </xf>
    <xf numFmtId="187" fontId="11" fillId="0" borderId="0" xfId="0" applyNumberFormat="1" applyFont="1" applyAlignment="1">
      <alignment horizontal="right"/>
    </xf>
    <xf numFmtId="175" fontId="11" fillId="0" borderId="16" xfId="0" applyNumberFormat="1" applyFont="1" applyBorder="1"/>
    <xf numFmtId="175" fontId="11" fillId="0" borderId="17" xfId="0" applyNumberFormat="1" applyFont="1" applyBorder="1"/>
    <xf numFmtId="175" fontId="11" fillId="0" borderId="18" xfId="0" applyNumberFormat="1" applyFont="1" applyBorder="1"/>
    <xf numFmtId="168" fontId="21" fillId="0" borderId="6" xfId="0" applyNumberFormat="1" applyFont="1" applyBorder="1" applyAlignment="1">
      <alignment vertical="center"/>
    </xf>
    <xf numFmtId="168" fontId="21" fillId="0" borderId="11" xfId="0" applyNumberFormat="1" applyFont="1" applyBorder="1" applyAlignment="1">
      <alignment vertical="center"/>
    </xf>
    <xf numFmtId="173" fontId="14" fillId="0" borderId="0" xfId="0" applyNumberFormat="1" applyFont="1" applyAlignment="1">
      <alignment horizontal="right"/>
    </xf>
    <xf numFmtId="193" fontId="11" fillId="0" borderId="0" xfId="0" applyNumberFormat="1" applyFont="1" applyAlignment="1">
      <alignment horizontal="left"/>
    </xf>
    <xf numFmtId="191" fontId="11" fillId="0" borderId="0" xfId="0" applyNumberFormat="1" applyFont="1"/>
    <xf numFmtId="194" fontId="11" fillId="0" borderId="10" xfId="0" applyNumberFormat="1" applyFont="1" applyBorder="1"/>
    <xf numFmtId="194" fontId="11" fillId="0" borderId="11" xfId="0" applyNumberFormat="1" applyFont="1" applyBorder="1"/>
    <xf numFmtId="194" fontId="11" fillId="0" borderId="12" xfId="0" applyNumberFormat="1" applyFont="1" applyBorder="1"/>
    <xf numFmtId="168" fontId="3" fillId="0" borderId="6" xfId="0" applyNumberFormat="1" applyFont="1" applyBorder="1" applyAlignment="1">
      <alignment vertical="center"/>
    </xf>
    <xf numFmtId="9" fontId="11" fillId="0" borderId="7" xfId="0" applyNumberFormat="1" applyFont="1" applyBorder="1"/>
    <xf numFmtId="49" fontId="11" fillId="0" borderId="10" xfId="0" applyNumberFormat="1" applyFont="1" applyBorder="1" applyAlignment="1">
      <alignment horizontal="left"/>
    </xf>
    <xf numFmtId="183" fontId="11" fillId="0" borderId="12" xfId="0" applyNumberFormat="1" applyFont="1" applyBorder="1" applyAlignment="1">
      <alignment horizontal="right"/>
    </xf>
    <xf numFmtId="175" fontId="16" fillId="0" borderId="0" xfId="0" applyNumberFormat="1" applyFont="1"/>
    <xf numFmtId="174" fontId="27" fillId="0" borderId="0" xfId="0" applyNumberFormat="1" applyFont="1"/>
    <xf numFmtId="49" fontId="11" fillId="0" borderId="0" xfId="0" applyNumberFormat="1" applyFont="1" applyAlignment="1">
      <alignment horizontal="left" indent="1"/>
    </xf>
    <xf numFmtId="175" fontId="8" fillId="0" borderId="11" xfId="0" applyNumberFormat="1" applyFont="1" applyBorder="1" applyAlignment="1">
      <alignment horizontal="right"/>
    </xf>
    <xf numFmtId="173" fontId="11" fillId="0" borderId="0" xfId="0" applyNumberFormat="1" applyFont="1" applyAlignment="1">
      <alignment horizontal="right"/>
    </xf>
    <xf numFmtId="192" fontId="11" fillId="0" borderId="0" xfId="0" applyNumberFormat="1" applyFont="1" applyAlignment="1">
      <alignment horizontal="right"/>
    </xf>
    <xf numFmtId="175" fontId="11" fillId="4" borderId="0" xfId="0" applyNumberFormat="1" applyFont="1" applyFill="1"/>
    <xf numFmtId="175" fontId="11" fillId="4" borderId="11" xfId="0" applyNumberFormat="1" applyFont="1" applyFill="1" applyBorder="1"/>
    <xf numFmtId="0" fontId="8" fillId="0" borderId="0" xfId="0" applyFont="1" applyAlignment="1">
      <alignment horizontal="center"/>
    </xf>
    <xf numFmtId="173" fontId="11" fillId="0" borderId="11" xfId="0" applyNumberFormat="1" applyFont="1" applyBorder="1" applyAlignment="1">
      <alignment horizontal="right"/>
    </xf>
    <xf numFmtId="195" fontId="30" fillId="0" borderId="0" xfId="0" applyNumberFormat="1" applyFont="1" applyAlignment="1" applyProtection="1">
      <alignment horizontal="center" vertical="center"/>
      <protection hidden="1"/>
    </xf>
    <xf numFmtId="175" fontId="11" fillId="4" borderId="19" xfId="0" applyNumberFormat="1" applyFont="1" applyFill="1" applyBorder="1" applyAlignment="1">
      <alignment horizontal="right" vertical="center"/>
    </xf>
    <xf numFmtId="0" fontId="11" fillId="0" borderId="11" xfId="0" applyFont="1" applyBorder="1" applyAlignment="1">
      <alignment horizontal="left" indent="1"/>
    </xf>
    <xf numFmtId="196" fontId="8" fillId="0" borderId="0" xfId="0" applyNumberFormat="1" applyFont="1" applyAlignment="1">
      <alignment horizontal="right" vertical="center"/>
    </xf>
    <xf numFmtId="171" fontId="8" fillId="0" borderId="14" xfId="0" applyNumberFormat="1" applyFont="1" applyBorder="1" applyAlignment="1">
      <alignment horizontal="right" vertical="center"/>
    </xf>
    <xf numFmtId="0" fontId="11" fillId="0" borderId="22" xfId="0" applyFont="1" applyBorder="1" applyAlignment="1">
      <alignment vertical="center"/>
    </xf>
    <xf numFmtId="0" fontId="12" fillId="0" borderId="22" xfId="0" applyFont="1" applyBorder="1" applyAlignment="1">
      <alignment horizontal="right" vertical="center"/>
    </xf>
    <xf numFmtId="172" fontId="13" fillId="0" borderId="22" xfId="0" applyNumberFormat="1" applyFont="1" applyBorder="1" applyAlignment="1">
      <alignment horizontal="right" vertical="center"/>
    </xf>
    <xf numFmtId="0" fontId="10" fillId="0" borderId="22" xfId="0" applyFont="1" applyBorder="1"/>
    <xf numFmtId="0" fontId="8" fillId="0" borderId="0" xfId="0" applyFont="1" applyAlignment="1">
      <alignment horizontal="left" vertical="center" indent="1"/>
    </xf>
    <xf numFmtId="0" fontId="11" fillId="3" borderId="0" xfId="0" applyFont="1" applyFill="1" applyAlignment="1">
      <alignment horizontal="center" vertical="center"/>
    </xf>
    <xf numFmtId="0" fontId="12" fillId="0" borderId="0" xfId="0" applyFont="1" applyAlignment="1">
      <alignment horizontal="left" indent="2"/>
    </xf>
    <xf numFmtId="173" fontId="12" fillId="4" borderId="0" xfId="0" applyNumberFormat="1" applyFont="1" applyFill="1" applyAlignment="1">
      <alignment horizontal="right"/>
    </xf>
    <xf numFmtId="174" fontId="12" fillId="0" borderId="0" xfId="0" applyNumberFormat="1" applyFont="1"/>
    <xf numFmtId="0" fontId="8" fillId="0" borderId="23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1" fillId="0" borderId="23" xfId="0" applyFont="1" applyBorder="1"/>
    <xf numFmtId="0" fontId="23" fillId="0" borderId="23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31" fillId="0" borderId="0" xfId="0" applyFont="1"/>
    <xf numFmtId="0" fontId="23" fillId="0" borderId="0" xfId="0" applyFont="1" applyBorder="1" applyAlignment="1">
      <alignment horizontal="left"/>
    </xf>
    <xf numFmtId="0" fontId="11" fillId="0" borderId="24" xfId="0" applyFont="1" applyBorder="1"/>
    <xf numFmtId="0" fontId="0" fillId="0" borderId="24" xfId="0" applyBorder="1"/>
    <xf numFmtId="173" fontId="32" fillId="0" borderId="0" xfId="0" applyNumberFormat="1" applyFont="1" applyBorder="1" applyAlignment="1">
      <alignment vertical="center"/>
    </xf>
    <xf numFmtId="0" fontId="33" fillId="0" borderId="0" xfId="0" applyFont="1"/>
    <xf numFmtId="171" fontId="8" fillId="0" borderId="1" xfId="0" applyNumberFormat="1" applyFont="1" applyBorder="1" applyAlignment="1">
      <alignment horizontal="right"/>
    </xf>
    <xf numFmtId="169" fontId="8" fillId="0" borderId="15" xfId="0" applyNumberFormat="1" applyFont="1" applyBorder="1" applyAlignment="1">
      <alignment horizontal="right"/>
    </xf>
    <xf numFmtId="169" fontId="8" fillId="0" borderId="25" xfId="0" applyNumberFormat="1" applyFont="1" applyBorder="1" applyAlignment="1">
      <alignment horizontal="right"/>
    </xf>
    <xf numFmtId="0" fontId="11" fillId="0" borderId="0" xfId="0" applyFont="1" applyFill="1" applyBorder="1" applyAlignment="1">
      <alignment horizontal="center"/>
    </xf>
    <xf numFmtId="0" fontId="1" fillId="0" borderId="0" xfId="0" applyFont="1" applyBorder="1"/>
    <xf numFmtId="179" fontId="0" fillId="0" borderId="0" xfId="0" applyNumberFormat="1"/>
    <xf numFmtId="180" fontId="0" fillId="0" borderId="0" xfId="0" applyNumberFormat="1"/>
    <xf numFmtId="0" fontId="1" fillId="0" borderId="26" xfId="0" applyFont="1" applyBorder="1"/>
    <xf numFmtId="0" fontId="1" fillId="0" borderId="27" xfId="0" applyFont="1" applyBorder="1"/>
    <xf numFmtId="0" fontId="36" fillId="0" borderId="23" xfId="0" applyFont="1" applyBorder="1" applyProtection="1">
      <protection locked="0"/>
    </xf>
    <xf numFmtId="0" fontId="36" fillId="0" borderId="23" xfId="0" applyFont="1" applyBorder="1" applyAlignment="1" applyProtection="1">
      <alignment horizontal="left"/>
      <protection locked="0"/>
    </xf>
    <xf numFmtId="0" fontId="11" fillId="0" borderId="23" xfId="0" applyFont="1" applyBorder="1" applyAlignment="1">
      <alignment horizontal="centerContinuous"/>
    </xf>
    <xf numFmtId="0" fontId="1" fillId="0" borderId="23" xfId="0" applyFont="1" applyBorder="1" applyAlignment="1">
      <alignment horizontal="centerContinuous"/>
    </xf>
    <xf numFmtId="0" fontId="36" fillId="0" borderId="23" xfId="0" applyFont="1" applyBorder="1" applyAlignment="1" applyProtection="1">
      <alignment horizontal="centerContinuous"/>
      <protection locked="0"/>
    </xf>
    <xf numFmtId="0" fontId="1" fillId="0" borderId="28" xfId="0" applyFont="1" applyBorder="1"/>
    <xf numFmtId="0" fontId="35" fillId="0" borderId="29" xfId="0" applyFont="1" applyBorder="1" applyProtection="1">
      <protection locked="0"/>
    </xf>
    <xf numFmtId="0" fontId="1" fillId="0" borderId="29" xfId="0" applyFont="1" applyBorder="1"/>
    <xf numFmtId="0" fontId="1" fillId="0" borderId="0" xfId="0" applyFont="1" applyBorder="1" applyProtection="1">
      <protection locked="0"/>
    </xf>
    <xf numFmtId="0" fontId="37" fillId="0" borderId="0" xfId="0" applyFont="1" applyBorder="1"/>
    <xf numFmtId="0" fontId="11" fillId="0" borderId="0" xfId="0" applyFont="1" applyBorder="1"/>
    <xf numFmtId="0" fontId="11" fillId="0" borderId="0" xfId="0" applyFont="1" applyBorder="1" applyAlignment="1">
      <alignment horizontal="centerContinuous"/>
    </xf>
    <xf numFmtId="170" fontId="34" fillId="0" borderId="0" xfId="1" applyNumberFormat="1" applyBorder="1" applyProtection="1">
      <protection locked="0"/>
    </xf>
    <xf numFmtId="197" fontId="10" fillId="0" borderId="0" xfId="0" applyNumberFormat="1" applyFont="1" applyBorder="1" applyAlignment="1" applyProtection="1">
      <alignment horizontal="center"/>
      <protection locked="0"/>
    </xf>
    <xf numFmtId="197" fontId="10" fillId="4" borderId="0" xfId="0" applyNumberFormat="1" applyFont="1" applyFill="1" applyBorder="1" applyAlignment="1" applyProtection="1">
      <alignment horizontal="center"/>
      <protection locked="0"/>
    </xf>
    <xf numFmtId="0" fontId="38" fillId="0" borderId="29" xfId="0" applyFont="1" applyBorder="1" applyAlignment="1">
      <alignment horizontal="center" wrapText="1"/>
    </xf>
    <xf numFmtId="0" fontId="38" fillId="0" borderId="29" xfId="0" applyFont="1" applyBorder="1" applyAlignment="1">
      <alignment wrapText="1"/>
    </xf>
    <xf numFmtId="0" fontId="38" fillId="0" borderId="30" xfId="0" applyFont="1" applyBorder="1" applyAlignment="1">
      <alignment horizontal="center" wrapText="1"/>
    </xf>
    <xf numFmtId="0" fontId="10" fillId="0" borderId="0" xfId="0" applyFont="1" applyBorder="1"/>
    <xf numFmtId="0" fontId="0" fillId="0" borderId="0" xfId="0" applyBorder="1"/>
    <xf numFmtId="170" fontId="10" fillId="0" borderId="0" xfId="0" applyNumberFormat="1" applyFont="1" applyBorder="1" applyAlignment="1" applyProtection="1">
      <alignment horizontal="left"/>
      <protection locked="0"/>
    </xf>
    <xf numFmtId="0" fontId="39" fillId="5" borderId="0" xfId="0" applyFont="1" applyFill="1" applyBorder="1" applyAlignment="1">
      <alignment horizontal="left"/>
    </xf>
    <xf numFmtId="170" fontId="40" fillId="6" borderId="0" xfId="0" applyNumberFormat="1" applyFont="1" applyFill="1" applyBorder="1" applyAlignment="1" applyProtection="1">
      <alignment horizontal="left"/>
      <protection locked="0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Revenue</a:t>
            </a:r>
            <a:r>
              <a:rPr lang="en-GB" b="1" baseline="0"/>
              <a:t> Growth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Output!$H$5:$O$5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Output!$H$11:$O$11</c:f>
              <c:numCache>
                <c:formatCode>_(#,##0_);\(#,##0\);_("–"_);_(@_)</c:formatCode>
                <c:ptCount val="8"/>
                <c:pt idx="0">
                  <c:v>50589</c:v>
                </c:pt>
                <c:pt idx="1">
                  <c:v>51647.864999999998</c:v>
                </c:pt>
                <c:pt idx="2">
                  <c:v>53760.85</c:v>
                </c:pt>
                <c:pt idx="3">
                  <c:v>56481.149010000008</c:v>
                </c:pt>
                <c:pt idx="4">
                  <c:v>57616.420105101002</c:v>
                </c:pt>
                <c:pt idx="5">
                  <c:v>58774.510149213551</c:v>
                </c:pt>
                <c:pt idx="6">
                  <c:v>59659.066526959199</c:v>
                </c:pt>
                <c:pt idx="7">
                  <c:v>60257.148668891954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2F-8442-9783-FE2263CCD9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40677375"/>
        <c:axId val="1340679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Output!$H$5:$O$5</c15:sqref>
                        </c15:formulaRef>
                      </c:ext>
                    </c:extLst>
                    <c:numCache>
                      <c:formatCode>0000\A</c:formatCode>
                      <c:ptCount val="8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 formatCode="0&quot;F&quot;">
                        <c:v>2023</c:v>
                      </c:pt>
                      <c:pt idx="4" formatCode="0&quot;F&quot;">
                        <c:v>2024</c:v>
                      </c:pt>
                      <c:pt idx="5" formatCode="0&quot;F&quot;">
                        <c:v>2025</c:v>
                      </c:pt>
                      <c:pt idx="6" formatCode="0&quot;F&quot;">
                        <c:v>2026</c:v>
                      </c:pt>
                      <c:pt idx="7" formatCode="0&quot;F&quot;">
                        <c:v>2027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Output!$H$6:$O$6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32F-8442-9783-FE2263CCD959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2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Output!$H$5:$O$5</c15:sqref>
                        </c15:formulaRef>
                      </c:ext>
                    </c:extLst>
                    <c:numCache>
                      <c:formatCode>0000\A</c:formatCode>
                      <c:ptCount val="8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 formatCode="0&quot;F&quot;">
                        <c:v>2023</c:v>
                      </c:pt>
                      <c:pt idx="4" formatCode="0&quot;F&quot;">
                        <c:v>2024</c:v>
                      </c:pt>
                      <c:pt idx="5" formatCode="0&quot;F&quot;">
                        <c:v>2025</c:v>
                      </c:pt>
                      <c:pt idx="6" formatCode="0&quot;F&quot;">
                        <c:v>2026</c:v>
                      </c:pt>
                      <c:pt idx="7" formatCode="0&quot;F&quot;">
                        <c:v>2027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Output!$H$7:$O$7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32F-8442-9783-FE2263CCD959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gradFill rotWithShape="1">
                    <a:gsLst>
                      <a:gs pos="0">
                        <a:schemeClr val="accent3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3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3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3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Output!$H$5:$O$5</c15:sqref>
                        </c15:formulaRef>
                      </c:ext>
                    </c:extLst>
                    <c:numCache>
                      <c:formatCode>0000\A</c:formatCode>
                      <c:ptCount val="8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 formatCode="0&quot;F&quot;">
                        <c:v>2023</c:v>
                      </c:pt>
                      <c:pt idx="4" formatCode="0&quot;F&quot;">
                        <c:v>2024</c:v>
                      </c:pt>
                      <c:pt idx="5" formatCode="0&quot;F&quot;">
                        <c:v>2025</c:v>
                      </c:pt>
                      <c:pt idx="6" formatCode="0&quot;F&quot;">
                        <c:v>2026</c:v>
                      </c:pt>
                      <c:pt idx="7" formatCode="0&quot;F&quot;">
                        <c:v>2027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Output!$H$8:$O$8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32F-8442-9783-FE2263CCD959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gradFill rotWithShape="1">
                    <a:gsLst>
                      <a:gs pos="0">
                        <a:schemeClr val="accent4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4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4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4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Output!$H$5:$O$5</c15:sqref>
                        </c15:formulaRef>
                      </c:ext>
                    </c:extLst>
                    <c:numCache>
                      <c:formatCode>0000\A</c:formatCode>
                      <c:ptCount val="8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 formatCode="0&quot;F&quot;">
                        <c:v>2023</c:v>
                      </c:pt>
                      <c:pt idx="4" formatCode="0&quot;F&quot;">
                        <c:v>2024</c:v>
                      </c:pt>
                      <c:pt idx="5" formatCode="0&quot;F&quot;">
                        <c:v>2025</c:v>
                      </c:pt>
                      <c:pt idx="6" formatCode="0&quot;F&quot;">
                        <c:v>2026</c:v>
                      </c:pt>
                      <c:pt idx="7" formatCode="0&quot;F&quot;">
                        <c:v>2027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Output!$H$9:$O$9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32F-8442-9783-FE2263CCD959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gradFill rotWithShape="1">
                    <a:gsLst>
                      <a:gs pos="0">
                        <a:schemeClr val="accent5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5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5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5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Output!$H$5:$O$5</c15:sqref>
                        </c15:formulaRef>
                      </c:ext>
                    </c:extLst>
                    <c:numCache>
                      <c:formatCode>0000\A</c:formatCode>
                      <c:ptCount val="8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 formatCode="0&quot;F&quot;">
                        <c:v>2023</c:v>
                      </c:pt>
                      <c:pt idx="4" formatCode="0&quot;F&quot;">
                        <c:v>2024</c:v>
                      </c:pt>
                      <c:pt idx="5" formatCode="0&quot;F&quot;">
                        <c:v>2025</c:v>
                      </c:pt>
                      <c:pt idx="6" formatCode="0&quot;F&quot;">
                        <c:v>2026</c:v>
                      </c:pt>
                      <c:pt idx="7" formatCode="0&quot;F&quot;">
                        <c:v>2027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Output!$H$10:$O$10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132F-8442-9783-FE2263CCD959}"/>
                  </c:ext>
                </c:extLst>
              </c15:ser>
            </c15:filteredBarSeries>
          </c:ext>
        </c:extLst>
      </c:barChart>
      <c:catAx>
        <c:axId val="1340677375"/>
        <c:scaling>
          <c:orientation val="minMax"/>
        </c:scaling>
        <c:delete val="0"/>
        <c:axPos val="b"/>
        <c:numFmt formatCode="0000\A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679087"/>
        <c:crosses val="autoZero"/>
        <c:auto val="1"/>
        <c:lblAlgn val="ctr"/>
        <c:lblOffset val="100"/>
        <c:noMultiLvlLbl val="0"/>
      </c:catAx>
      <c:valAx>
        <c:axId val="1340679087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67737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Change</a:t>
            </a:r>
            <a:r>
              <a:rPr lang="en-GB" baseline="0"/>
              <a:t> In Cash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Output!$H$25:$O$25</c:f>
              <c:numCache>
                <c:formatCode>_(#,##0_);\(#,##0\);_("–"_);_(@_)</c:formatCode>
                <c:ptCount val="8"/>
                <c:pt idx="0">
                  <c:v>3175.7000000000098</c:v>
                </c:pt>
                <c:pt idx="1">
                  <c:v>-3482.1494000000002</c:v>
                </c:pt>
                <c:pt idx="2">
                  <c:v>-954.5515000000014</c:v>
                </c:pt>
                <c:pt idx="3">
                  <c:v>-8409.9991000000009</c:v>
                </c:pt>
                <c:pt idx="4">
                  <c:v>0</c:v>
                </c:pt>
                <c:pt idx="5">
                  <c:v>0</c:v>
                </c:pt>
                <c:pt idx="6">
                  <c:v>593.30281856515649</c:v>
                </c:pt>
                <c:pt idx="7">
                  <c:v>2350.0731932816398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0-6B4F-9499-33C9FB293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691760"/>
        <c:axId val="2057070191"/>
      </c:barChart>
      <c:catAx>
        <c:axId val="165269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070191"/>
        <c:crosses val="autoZero"/>
        <c:auto val="1"/>
        <c:lblAlgn val="ctr"/>
        <c:lblOffset val="100"/>
        <c:noMultiLvlLbl val="0"/>
      </c:catAx>
      <c:valAx>
        <c:axId val="205707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69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15" fmlaLink="$E$7" fmlaRange="$C$12:$C$14" noThreeD="1" sel="2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157616</xdr:colOff>
      <xdr:row>31</xdr:row>
      <xdr:rowOff>159203</xdr:rowOff>
    </xdr:from>
    <xdr:to>
      <xdr:col>8</xdr:col>
      <xdr:colOff>14768</xdr:colOff>
      <xdr:row>48</xdr:row>
      <xdr:rowOff>90714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22C0CC-6C3E-7BA5-9248-673245D11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667488</xdr:colOff>
      <xdr:row>31</xdr:row>
      <xdr:rowOff>149448</xdr:rowOff>
    </xdr:from>
    <xdr:to>
      <xdr:col>15</xdr:col>
      <xdr:colOff>590697</xdr:colOff>
      <xdr:row>48</xdr:row>
      <xdr:rowOff>147674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6A597F-7408-479D-873F-7750DB042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5</xdr:col>
          <xdr:colOff>12700</xdr:colOff>
          <xdr:row>7</xdr:row>
          <xdr:rowOff>12700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D7D76D1-D5F1-B48B-E957-FD86EA0DBA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5AE38-B4D0-C944-BCC0-58E9EE5E0AAA}">
  <dimension ref="B3:O15"/>
  <sheetViews>
    <sheetView showGridLines="0" workbookViewId="0">
      <selection activeCell="M19" sqref="M19"/>
    </sheetView>
  </sheetViews>
  <sheetFormatPr baseColWidth="10" defaultRowHeight="14" x14ac:dyDescent="0.2"/>
  <cols>
    <col min="3" max="3" width="18.59765625" customWidth="1"/>
    <col min="6" max="6" width="11" customWidth="1"/>
    <col min="12" max="12" width="15.19921875" customWidth="1"/>
    <col min="13" max="13" width="34" customWidth="1"/>
    <col min="14" max="14" width="37.59765625" customWidth="1"/>
    <col min="15" max="15" width="5.3984375" customWidth="1"/>
  </cols>
  <sheetData>
    <row r="3" spans="2:15" ht="15" thickBot="1" x14ac:dyDescent="0.25"/>
    <row r="4" spans="2:15" ht="29" customHeight="1" thickTop="1" x14ac:dyDescent="0.35">
      <c r="B4" s="311"/>
      <c r="C4" s="312" t="s">
        <v>193</v>
      </c>
      <c r="D4" s="313"/>
      <c r="E4" s="313"/>
      <c r="F4" s="313"/>
      <c r="G4" s="313"/>
      <c r="H4" s="313"/>
      <c r="I4" s="313"/>
      <c r="J4" s="322"/>
      <c r="K4" s="321" t="s">
        <v>201</v>
      </c>
      <c r="L4" s="321"/>
      <c r="M4" s="321"/>
      <c r="N4" s="321"/>
      <c r="O4" s="323"/>
    </row>
    <row r="5" spans="2:15" ht="16" x14ac:dyDescent="0.2">
      <c r="B5" s="304"/>
      <c r="C5" s="314"/>
      <c r="D5" s="301"/>
      <c r="E5" s="301"/>
      <c r="F5" s="301"/>
      <c r="G5" s="301"/>
      <c r="H5" s="301"/>
      <c r="I5" s="301"/>
      <c r="J5" s="301"/>
      <c r="K5" s="301"/>
      <c r="L5" s="315"/>
      <c r="M5" s="301"/>
      <c r="N5" s="301"/>
      <c r="O5" s="305"/>
    </row>
    <row r="6" spans="2:15" ht="15" x14ac:dyDescent="0.2">
      <c r="B6" s="304"/>
      <c r="C6" s="301"/>
      <c r="D6" s="301"/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5"/>
    </row>
    <row r="7" spans="2:15" ht="20" x14ac:dyDescent="0.25">
      <c r="B7" s="304"/>
      <c r="C7" s="306" t="s">
        <v>194</v>
      </c>
      <c r="D7" s="316"/>
      <c r="E7" s="316"/>
      <c r="F7" s="316"/>
      <c r="G7" s="316"/>
      <c r="H7" s="316"/>
      <c r="I7" s="301"/>
      <c r="J7" s="317"/>
      <c r="K7" s="307" t="s">
        <v>195</v>
      </c>
      <c r="L7" s="308"/>
      <c r="M7" s="309"/>
      <c r="N7" s="310"/>
      <c r="O7" s="305"/>
    </row>
    <row r="8" spans="2:15" ht="15" x14ac:dyDescent="0.2">
      <c r="B8" s="304"/>
      <c r="C8" s="301"/>
      <c r="D8" s="316"/>
      <c r="E8" s="316"/>
      <c r="F8" s="316"/>
      <c r="G8" s="316"/>
      <c r="H8" s="316"/>
      <c r="I8" s="301"/>
      <c r="J8" s="316"/>
      <c r="K8" s="316"/>
      <c r="L8" s="316"/>
      <c r="M8" s="316"/>
      <c r="N8" s="316"/>
      <c r="O8" s="305"/>
    </row>
    <row r="9" spans="2:15" ht="16" x14ac:dyDescent="0.2">
      <c r="B9" s="304"/>
      <c r="C9" s="318" t="s">
        <v>198</v>
      </c>
      <c r="D9" s="316"/>
      <c r="E9" s="316"/>
      <c r="F9" s="316"/>
      <c r="G9" s="316"/>
      <c r="H9" s="316"/>
      <c r="I9" s="301"/>
      <c r="J9" s="301"/>
      <c r="K9" s="326" t="s">
        <v>196</v>
      </c>
      <c r="L9" s="326"/>
      <c r="M9" s="326"/>
      <c r="N9" s="319">
        <v>0</v>
      </c>
      <c r="O9" s="305"/>
    </row>
    <row r="10" spans="2:15" ht="16" x14ac:dyDescent="0.2">
      <c r="B10" s="304"/>
      <c r="C10" s="318" t="s">
        <v>199</v>
      </c>
      <c r="D10" s="316"/>
      <c r="E10" s="316"/>
      <c r="F10" s="316"/>
      <c r="G10" s="316"/>
      <c r="H10" s="316"/>
      <c r="I10" s="301"/>
      <c r="J10" s="301"/>
      <c r="K10" s="326" t="s">
        <v>147</v>
      </c>
      <c r="L10" s="326"/>
      <c r="M10" s="326"/>
      <c r="N10" s="319">
        <v>0</v>
      </c>
      <c r="O10" s="305"/>
    </row>
    <row r="11" spans="2:15" ht="16" x14ac:dyDescent="0.2">
      <c r="B11" s="304"/>
      <c r="C11" s="318" t="s">
        <v>200</v>
      </c>
      <c r="D11" s="316"/>
      <c r="E11" s="316"/>
      <c r="F11" s="316"/>
      <c r="G11" s="316"/>
      <c r="H11" s="316"/>
      <c r="I11" s="301"/>
      <c r="J11" s="301"/>
      <c r="K11" s="326" t="s">
        <v>197</v>
      </c>
      <c r="L11" s="326"/>
      <c r="M11" s="326"/>
      <c r="N11" s="320">
        <v>0</v>
      </c>
      <c r="O11" s="305"/>
    </row>
    <row r="12" spans="2:15" ht="16" x14ac:dyDescent="0.2">
      <c r="B12" s="304"/>
      <c r="C12" s="324"/>
      <c r="D12" s="316"/>
      <c r="E12" s="316"/>
      <c r="F12" s="316"/>
      <c r="G12" s="316"/>
      <c r="H12" s="316"/>
      <c r="I12" s="301"/>
      <c r="J12" s="301"/>
      <c r="K12" s="327" t="s">
        <v>203</v>
      </c>
      <c r="L12" s="327"/>
      <c r="M12" s="327"/>
      <c r="N12" s="319" t="s">
        <v>202</v>
      </c>
      <c r="O12" s="305"/>
    </row>
    <row r="13" spans="2:15" ht="16" x14ac:dyDescent="0.2">
      <c r="B13" s="329"/>
      <c r="C13" s="325"/>
      <c r="D13" s="325"/>
      <c r="E13" s="325"/>
      <c r="F13" s="325"/>
      <c r="G13" s="325"/>
      <c r="H13" s="325"/>
      <c r="I13" s="325"/>
      <c r="J13" s="325"/>
      <c r="K13" s="328" t="s">
        <v>204</v>
      </c>
      <c r="L13" s="328"/>
      <c r="M13" s="328"/>
      <c r="N13" s="319" t="s">
        <v>205</v>
      </c>
      <c r="O13" s="330"/>
    </row>
    <row r="14" spans="2:15" ht="15" thickBot="1" x14ac:dyDescent="0.25">
      <c r="B14" s="331"/>
      <c r="C14" s="332"/>
      <c r="D14" s="332"/>
      <c r="E14" s="332"/>
      <c r="F14" s="332"/>
      <c r="G14" s="332"/>
      <c r="H14" s="332"/>
      <c r="I14" s="332"/>
      <c r="J14" s="332"/>
      <c r="K14" s="332"/>
      <c r="L14" s="332"/>
      <c r="M14" s="332"/>
      <c r="N14" s="332"/>
      <c r="O14" s="333"/>
    </row>
    <row r="15" spans="2:15" ht="15" thickTop="1" x14ac:dyDescent="0.2"/>
  </sheetData>
  <mergeCells count="6">
    <mergeCell ref="K12:M12"/>
    <mergeCell ref="K13:M13"/>
    <mergeCell ref="K4:O4"/>
    <mergeCell ref="K9:M9"/>
    <mergeCell ref="K10:M10"/>
    <mergeCell ref="K11:M11"/>
  </mergeCells>
  <hyperlinks>
    <hyperlink ref="C9" location="Output!A1" display="Output!A1" xr:uid="{A9A1C0F7-5940-694F-BFD6-A03033C860AE}"/>
    <hyperlink ref="C10" location="Inputs!A1" display="Inputs!A1" xr:uid="{D702B16E-1D46-F449-ADA9-413564185E4B}"/>
    <hyperlink ref="C11" location="Model!A1" display="Model!A1" xr:uid="{F2D0D46E-D09B-214F-BB3A-70F8D22201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4F46-9F5E-B948-B740-14179E90B5FA}">
  <dimension ref="A3:P51"/>
  <sheetViews>
    <sheetView showGridLines="0" zoomScale="86" workbookViewId="0"/>
  </sheetViews>
  <sheetFormatPr baseColWidth="10" defaultRowHeight="14" x14ac:dyDescent="0.2"/>
  <sheetData>
    <row r="3" spans="1:15" ht="20" x14ac:dyDescent="0.2">
      <c r="A3" s="1"/>
      <c r="B3" s="3" t="s">
        <v>178</v>
      </c>
      <c r="C3" s="4"/>
      <c r="D3" s="4"/>
      <c r="E3" s="5"/>
      <c r="F3" s="5"/>
      <c r="G3" s="6"/>
      <c r="H3" s="6"/>
      <c r="I3" s="6"/>
      <c r="J3" s="6"/>
      <c r="K3" s="6"/>
      <c r="L3" s="6"/>
      <c r="M3" s="6"/>
      <c r="N3" s="6"/>
      <c r="O3" s="6"/>
    </row>
    <row r="4" spans="1:15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6" thickBot="1" x14ac:dyDescent="0.25">
      <c r="A5" s="1"/>
      <c r="B5" s="12" t="s">
        <v>2</v>
      </c>
      <c r="C5" s="1"/>
      <c r="D5" s="9"/>
      <c r="E5" s="14"/>
      <c r="F5" s="14"/>
      <c r="G5" s="15"/>
      <c r="H5" s="275">
        <v>2020</v>
      </c>
      <c r="I5" s="275">
        <v>2021</v>
      </c>
      <c r="J5" s="275">
        <v>2022</v>
      </c>
      <c r="K5" s="276">
        <v>2023</v>
      </c>
      <c r="L5" s="276">
        <v>2024</v>
      </c>
      <c r="M5" s="276">
        <v>2025</v>
      </c>
      <c r="N5" s="276">
        <v>2026</v>
      </c>
      <c r="O5" s="276">
        <v>2027</v>
      </c>
    </row>
    <row r="6" spans="1:15" ht="16" x14ac:dyDescent="0.2">
      <c r="A6" s="1"/>
      <c r="B6" s="17"/>
      <c r="C6" s="18"/>
      <c r="D6" s="17"/>
      <c r="E6" s="20"/>
      <c r="F6" s="20"/>
      <c r="G6" s="20"/>
      <c r="H6" s="277"/>
      <c r="I6" s="277"/>
      <c r="J6" s="277"/>
      <c r="K6" s="277"/>
      <c r="L6" s="277"/>
      <c r="M6" s="278"/>
      <c r="N6" s="279"/>
      <c r="O6" s="280"/>
    </row>
    <row r="7" spans="1:15" ht="16" x14ac:dyDescent="0.2">
      <c r="A7" s="1"/>
      <c r="B7" s="281" t="s">
        <v>3</v>
      </c>
      <c r="C7" s="17"/>
      <c r="D7" s="17"/>
      <c r="E7" s="282">
        <f>Inputs!E7</f>
        <v>2</v>
      </c>
      <c r="F7" s="20"/>
      <c r="G7" s="20"/>
      <c r="H7" s="20"/>
      <c r="I7" s="20"/>
      <c r="J7" s="20"/>
      <c r="K7" s="20"/>
      <c r="L7" s="20"/>
      <c r="M7" s="21"/>
      <c r="N7" s="22"/>
      <c r="O7" s="17"/>
    </row>
    <row r="8" spans="1:15" ht="16" x14ac:dyDescent="0.2">
      <c r="A8" s="19"/>
      <c r="B8" s="17"/>
      <c r="C8" s="17"/>
      <c r="D8" s="20"/>
      <c r="E8" s="20"/>
      <c r="F8" s="20"/>
      <c r="G8" s="19"/>
      <c r="H8" s="19"/>
      <c r="I8" s="19"/>
      <c r="J8" s="19"/>
      <c r="K8" s="19"/>
      <c r="L8" s="19"/>
      <c r="M8" s="19"/>
      <c r="N8" s="19"/>
      <c r="O8" s="19"/>
    </row>
    <row r="9" spans="1:15" x14ac:dyDescent="0.2">
      <c r="A9" s="19"/>
      <c r="B9" s="19"/>
      <c r="C9" s="13" t="s">
        <v>179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x14ac:dyDescent="0.2">
      <c r="A10" s="19"/>
      <c r="B10" s="19"/>
      <c r="C10" s="13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11" spans="1:15" x14ac:dyDescent="0.2">
      <c r="A11" s="19"/>
      <c r="B11" s="19"/>
      <c r="C11" s="87" t="s">
        <v>46</v>
      </c>
      <c r="D11" s="19"/>
      <c r="E11" s="19"/>
      <c r="F11" s="19"/>
      <c r="G11" s="19"/>
      <c r="H11" s="117">
        <f>Model!F11</f>
        <v>50589</v>
      </c>
      <c r="I11" s="117">
        <f>Model!G11</f>
        <v>51647.864999999998</v>
      </c>
      <c r="J11" s="117">
        <f>Model!H11</f>
        <v>53760.85</v>
      </c>
      <c r="K11" s="117">
        <f>Model!I11</f>
        <v>56481.149010000008</v>
      </c>
      <c r="L11" s="117">
        <f>Model!J11</f>
        <v>57616.420105101002</v>
      </c>
      <c r="M11" s="117">
        <f>Model!K11</f>
        <v>58774.510149213551</v>
      </c>
      <c r="N11" s="117">
        <f>Model!L11</f>
        <v>59659.066526959199</v>
      </c>
      <c r="O11" s="117">
        <f>Model!M11</f>
        <v>60257.148668891954</v>
      </c>
    </row>
    <row r="12" spans="1:15" x14ac:dyDescent="0.2">
      <c r="A12" s="19"/>
      <c r="B12" s="19"/>
      <c r="C12" s="87"/>
      <c r="D12" s="19"/>
      <c r="E12" s="19"/>
      <c r="F12" s="19"/>
      <c r="G12" s="19"/>
      <c r="H12" s="117"/>
      <c r="I12" s="117"/>
      <c r="J12" s="117"/>
      <c r="K12" s="117"/>
      <c r="L12" s="117"/>
      <c r="M12" s="117"/>
      <c r="N12" s="117"/>
      <c r="O12" s="117"/>
    </row>
    <row r="13" spans="1:15" x14ac:dyDescent="0.2">
      <c r="A13" s="19"/>
      <c r="B13" s="19"/>
      <c r="C13" s="87" t="s">
        <v>51</v>
      </c>
      <c r="D13" s="19"/>
      <c r="E13" s="19"/>
      <c r="F13" s="19"/>
      <c r="G13" s="19"/>
      <c r="H13" s="117">
        <f>Model!F18</f>
        <v>18403.7</v>
      </c>
      <c r="I13" s="117">
        <f>Model!G18</f>
        <v>18606.850600000002</v>
      </c>
      <c r="J13" s="117">
        <f>Model!H18</f>
        <v>19811.448499999999</v>
      </c>
      <c r="K13" s="117">
        <f>Model!I18</f>
        <v>21227.155446450008</v>
      </c>
      <c r="L13" s="117">
        <f>Model!J18</f>
        <v>21243.681244939937</v>
      </c>
      <c r="M13" s="117">
        <f>Model!K18</f>
        <v>21247.000276307994</v>
      </c>
      <c r="N13" s="117">
        <f>Model!L18</f>
        <v>21160.453730333866</v>
      </c>
      <c r="O13" s="117">
        <f>Model!M18</f>
        <v>20762.16380574982</v>
      </c>
    </row>
    <row r="14" spans="1:15" x14ac:dyDescent="0.2">
      <c r="A14" s="19"/>
      <c r="B14" s="19"/>
      <c r="C14" s="283" t="s">
        <v>180</v>
      </c>
      <c r="D14" s="19"/>
      <c r="E14" s="19"/>
      <c r="F14" s="19"/>
      <c r="G14" s="19"/>
      <c r="H14" s="284">
        <f>H13/H11</f>
        <v>0.36378857063788572</v>
      </c>
      <c r="I14" s="284">
        <f t="shared" ref="I14:O14" si="0">I13/I11</f>
        <v>0.36026369337822584</v>
      </c>
      <c r="J14" s="284">
        <f t="shared" si="0"/>
        <v>0.36851070063066338</v>
      </c>
      <c r="K14" s="284">
        <f t="shared" si="0"/>
        <v>0.37582725951081009</v>
      </c>
      <c r="L14" s="284">
        <f t="shared" si="0"/>
        <v>0.36870880221624797</v>
      </c>
      <c r="M14" s="284">
        <f t="shared" si="0"/>
        <v>0.36150025278589742</v>
      </c>
      <c r="N14" s="284">
        <f t="shared" si="0"/>
        <v>0.35468965510500766</v>
      </c>
      <c r="O14" s="284">
        <f t="shared" si="0"/>
        <v>0.34455934713798347</v>
      </c>
    </row>
    <row r="15" spans="1:15" x14ac:dyDescent="0.2">
      <c r="A15" s="19"/>
      <c r="B15" s="19"/>
      <c r="C15" s="283"/>
      <c r="D15" s="19"/>
      <c r="E15" s="19"/>
      <c r="F15" s="19"/>
      <c r="G15" s="19"/>
      <c r="H15" s="285"/>
      <c r="I15" s="285"/>
      <c r="J15" s="285"/>
      <c r="K15" s="285"/>
      <c r="L15" s="285"/>
      <c r="M15" s="285"/>
      <c r="N15" s="285"/>
      <c r="O15" s="285"/>
    </row>
    <row r="16" spans="1:15" x14ac:dyDescent="0.2">
      <c r="A16" s="19"/>
      <c r="B16" s="19"/>
      <c r="C16" s="87" t="s">
        <v>59</v>
      </c>
      <c r="D16" s="19"/>
      <c r="E16" s="19"/>
      <c r="F16" s="19"/>
      <c r="G16" s="19"/>
      <c r="H16" s="117">
        <f>Model!F35</f>
        <v>10800.7</v>
      </c>
      <c r="I16" s="117">
        <f>Model!G35</f>
        <v>10529.8506</v>
      </c>
      <c r="J16" s="117">
        <f>Model!H35</f>
        <v>11190.4485</v>
      </c>
      <c r="K16" s="117">
        <f ca="1">Model!I35</f>
        <v>10196.114603541107</v>
      </c>
      <c r="L16" s="117">
        <f ca="1">Model!J35</f>
        <v>9750.2162052085041</v>
      </c>
      <c r="M16" s="117">
        <f ca="1">Model!K35</f>
        <v>9762.7041150509685</v>
      </c>
      <c r="N16" s="117">
        <f ca="1">Model!L35</f>
        <v>9700.4464271296529</v>
      </c>
      <c r="O16" s="117">
        <f ca="1">Model!M35</f>
        <v>9358.5487881184326</v>
      </c>
    </row>
    <row r="17" spans="1:16" x14ac:dyDescent="0.2">
      <c r="A17" s="19"/>
      <c r="B17" s="19"/>
      <c r="C17" s="283" t="s">
        <v>181</v>
      </c>
      <c r="D17" s="19"/>
      <c r="E17" s="19"/>
      <c r="F17" s="19"/>
      <c r="G17" s="19"/>
      <c r="H17" s="284">
        <f>H16/H11</f>
        <v>0.21349898199213269</v>
      </c>
      <c r="I17" s="284">
        <f t="shared" ref="I17:O17" si="1">I16/I11</f>
        <v>0.20387775177153983</v>
      </c>
      <c r="J17" s="284">
        <f t="shared" si="1"/>
        <v>0.2081523729628531</v>
      </c>
      <c r="K17" s="284">
        <f t="shared" ca="1" si="1"/>
        <v>0.18052243593231224</v>
      </c>
      <c r="L17" s="284">
        <f t="shared" ca="1" si="1"/>
        <v>0.16922634532695099</v>
      </c>
      <c r="M17" s="284">
        <f t="shared" ca="1" si="1"/>
        <v>0.16610438930526078</v>
      </c>
      <c r="N17" s="284">
        <f t="shared" ca="1" si="1"/>
        <v>0.1625980256118513</v>
      </c>
      <c r="O17" s="284">
        <f t="shared" ca="1" si="1"/>
        <v>0.15531018302148486</v>
      </c>
    </row>
    <row r="18" spans="1:16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16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6" x14ac:dyDescent="0.2">
      <c r="A20" s="19"/>
      <c r="B20" s="19"/>
      <c r="C20" s="13" t="s">
        <v>182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6" x14ac:dyDescent="0.2">
      <c r="A21" s="19"/>
      <c r="B21" s="19"/>
      <c r="C21" s="13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6" x14ac:dyDescent="0.2">
      <c r="A22" s="19"/>
      <c r="B22" s="19"/>
      <c r="C22" s="87" t="s">
        <v>183</v>
      </c>
      <c r="D22" s="19"/>
      <c r="E22" s="19"/>
      <c r="F22" s="19"/>
      <c r="G22" s="19"/>
      <c r="H22" s="117">
        <f>Model!F52</f>
        <v>15655.7</v>
      </c>
      <c r="I22" s="117">
        <f>Model!G52</f>
        <v>16011.8506</v>
      </c>
      <c r="J22" s="117">
        <f>Model!H52</f>
        <v>17391.448499999999</v>
      </c>
      <c r="K22" s="117">
        <f ca="1">Model!I52</f>
        <v>16527.625985056864</v>
      </c>
      <c r="L22" s="117">
        <f ca="1">Model!J52</f>
        <v>16678.700840947193</v>
      </c>
      <c r="M22" s="117">
        <f ca="1">Model!K52</f>
        <v>16854.716816523163</v>
      </c>
      <c r="N22" s="117">
        <f ca="1">Model!L52</f>
        <v>17004.156346223983</v>
      </c>
      <c r="O22" s="117">
        <f ca="1">Model!M52</f>
        <v>16909.282950905326</v>
      </c>
    </row>
    <row r="23" spans="1:16" x14ac:dyDescent="0.2">
      <c r="A23" s="19"/>
      <c r="B23" s="19"/>
      <c r="C23" s="87" t="s">
        <v>184</v>
      </c>
      <c r="D23" s="19"/>
      <c r="E23" s="19"/>
      <c r="F23" s="19"/>
      <c r="G23" s="19"/>
      <c r="H23" s="117">
        <f>Model!F57</f>
        <v>-9014.9999999999909</v>
      </c>
      <c r="I23" s="117">
        <f>Model!G57</f>
        <v>-11733</v>
      </c>
      <c r="J23" s="117">
        <f>Model!H57</f>
        <v>-11130</v>
      </c>
      <c r="K23" s="117">
        <f>Model!I57</f>
        <v>-25475</v>
      </c>
      <c r="L23" s="117">
        <f>Model!J57</f>
        <v>-7050</v>
      </c>
      <c r="M23" s="117">
        <f>Model!K57</f>
        <v>-7275</v>
      </c>
      <c r="N23" s="117">
        <f>Model!L57</f>
        <v>-7200</v>
      </c>
      <c r="O23" s="117">
        <f>Model!M57</f>
        <v>-7687.5</v>
      </c>
    </row>
    <row r="24" spans="1:16" x14ac:dyDescent="0.2">
      <c r="A24" s="19"/>
      <c r="B24" s="19"/>
      <c r="C24" s="87" t="s">
        <v>185</v>
      </c>
      <c r="D24" s="19"/>
      <c r="E24" s="19"/>
      <c r="F24" s="19"/>
      <c r="G24" s="19"/>
      <c r="H24" s="241">
        <f>Model!F65</f>
        <v>-3465</v>
      </c>
      <c r="I24" s="241">
        <f>Model!G65</f>
        <v>-7761</v>
      </c>
      <c r="J24" s="241">
        <f>Model!H65</f>
        <v>-7216</v>
      </c>
      <c r="K24" s="241">
        <f ca="1">Model!I65</f>
        <v>537.37491494313531</v>
      </c>
      <c r="L24" s="241">
        <f ca="1">Model!J65</f>
        <v>-9628.7008409471928</v>
      </c>
      <c r="M24" s="241">
        <f ca="1">Model!K65</f>
        <v>-9579.7168165231633</v>
      </c>
      <c r="N24" s="241">
        <f ca="1">Model!L65</f>
        <v>-9210.8535276588264</v>
      </c>
      <c r="O24" s="241">
        <f ca="1">Model!M65</f>
        <v>-6871.7097576236865</v>
      </c>
    </row>
    <row r="25" spans="1:16" x14ac:dyDescent="0.2">
      <c r="A25" s="19"/>
      <c r="B25" s="19"/>
      <c r="C25" s="87" t="s">
        <v>186</v>
      </c>
      <c r="D25" s="19"/>
      <c r="E25" s="19"/>
      <c r="F25" s="19"/>
      <c r="G25" s="19"/>
      <c r="H25" s="111">
        <f>SUM(H22:H24)</f>
        <v>3175.7000000000098</v>
      </c>
      <c r="I25" s="111">
        <f t="shared" ref="I25:O25" si="2">SUM(I22:I24)</f>
        <v>-3482.1494000000002</v>
      </c>
      <c r="J25" s="111">
        <f t="shared" si="2"/>
        <v>-954.5515000000014</v>
      </c>
      <c r="K25" s="111">
        <f t="shared" ca="1" si="2"/>
        <v>-8409.9991000000009</v>
      </c>
      <c r="L25" s="111">
        <f t="shared" ca="1" si="2"/>
        <v>0</v>
      </c>
      <c r="M25" s="111">
        <f t="shared" ca="1" si="2"/>
        <v>0</v>
      </c>
      <c r="N25" s="111">
        <f t="shared" ca="1" si="2"/>
        <v>593.30281856515649</v>
      </c>
      <c r="O25" s="111">
        <f t="shared" ca="1" si="2"/>
        <v>2350.0731932816398</v>
      </c>
    </row>
    <row r="26" spans="1:16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spans="1:16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</row>
    <row r="28" spans="1:16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1:16" ht="15" x14ac:dyDescent="0.2">
      <c r="A29" s="104"/>
      <c r="B29" s="104"/>
      <c r="C29" s="286" t="s">
        <v>179</v>
      </c>
      <c r="D29" s="286"/>
      <c r="E29" s="286"/>
      <c r="F29" s="287"/>
      <c r="G29" s="288"/>
      <c r="H29" s="289"/>
      <c r="I29" s="290"/>
      <c r="J29" s="286" t="s">
        <v>182</v>
      </c>
      <c r="K29" s="286"/>
      <c r="L29" s="286"/>
      <c r="M29" s="286"/>
      <c r="N29" s="289"/>
      <c r="O29" s="292"/>
    </row>
    <row r="30" spans="1:16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93"/>
      <c r="P30" s="294"/>
    </row>
    <row r="31" spans="1:16" ht="15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34"/>
      <c r="K31" s="134"/>
      <c r="L31" s="19"/>
      <c r="M31" s="19"/>
      <c r="N31" s="19"/>
      <c r="O31" s="19"/>
    </row>
    <row r="32" spans="1:16" x14ac:dyDescent="0.2">
      <c r="A32" s="19"/>
      <c r="B32" s="19"/>
      <c r="C32" s="19"/>
      <c r="D32" s="19"/>
      <c r="E32" s="19"/>
      <c r="F32" s="19"/>
      <c r="G32" s="19"/>
      <c r="H32" s="19"/>
      <c r="I32" s="291"/>
      <c r="J32" s="19"/>
      <c r="K32" s="19"/>
      <c r="L32" s="19"/>
      <c r="M32" s="19"/>
      <c r="N32" s="19"/>
      <c r="O32" s="19"/>
    </row>
    <row r="33" spans="1:15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1:15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spans="1:15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spans="1:15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1:15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spans="1:15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1:15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spans="1:15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1:15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spans="1:15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1:15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44" spans="1:15" x14ac:dyDescent="0.2">
      <c r="A44" s="19"/>
      <c r="B44" s="19"/>
      <c r="C44" s="19"/>
      <c r="D44" s="291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</row>
    <row r="45" spans="1:15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</row>
    <row r="46" spans="1:15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</row>
    <row r="47" spans="1:15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</row>
    <row r="48" spans="1:15" ht="1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">
      <c r="A50" s="1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 t="s">
        <v>0</v>
      </c>
    </row>
    <row r="51" spans="1:15" ht="1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0754-485A-7D44-978B-A0DC40156C0E}">
  <dimension ref="A1:M68"/>
  <sheetViews>
    <sheetView showGridLines="0" workbookViewId="0">
      <selection activeCell="F24" sqref="F24"/>
    </sheetView>
  </sheetViews>
  <sheetFormatPr baseColWidth="10" defaultRowHeight="14" x14ac:dyDescent="0.2"/>
  <cols>
    <col min="2" max="2" width="12.796875" customWidth="1"/>
    <col min="3" max="3" width="15.3984375" customWidth="1"/>
    <col min="4" max="4" width="12.59765625" customWidth="1"/>
    <col min="5" max="5" width="14.19921875" customWidth="1"/>
    <col min="7" max="7" width="12.59765625" customWidth="1"/>
    <col min="10" max="10" width="12.796875" customWidth="1"/>
    <col min="11" max="11" width="13.19921875" customWidth="1"/>
    <col min="12" max="12" width="13.796875" customWidth="1"/>
  </cols>
  <sheetData>
    <row r="1" spans="1:13" ht="20" x14ac:dyDescent="0.2">
      <c r="A1" s="2"/>
      <c r="B1" s="8"/>
      <c r="C1" s="1"/>
      <c r="D1" s="9"/>
      <c r="E1" s="10"/>
      <c r="F1" s="10"/>
      <c r="G1" s="11"/>
      <c r="H1" s="11"/>
      <c r="I1" s="11"/>
      <c r="J1" s="11"/>
      <c r="K1" s="11"/>
      <c r="L1" s="11"/>
      <c r="M1" s="11"/>
    </row>
    <row r="2" spans="1:13" ht="20" x14ac:dyDescent="0.2">
      <c r="A2" s="2"/>
      <c r="B2" s="8"/>
      <c r="C2" s="1"/>
      <c r="D2" s="9"/>
      <c r="E2" s="10"/>
      <c r="F2" s="10"/>
      <c r="G2" s="11"/>
      <c r="H2" s="11"/>
      <c r="I2" s="11"/>
      <c r="J2" s="11"/>
      <c r="K2" s="11"/>
      <c r="L2" s="11"/>
      <c r="M2" s="11"/>
    </row>
    <row r="3" spans="1:13" ht="20" x14ac:dyDescent="0.2">
      <c r="A3" s="2" t="s">
        <v>0</v>
      </c>
      <c r="B3" s="3" t="s">
        <v>1</v>
      </c>
      <c r="C3" s="4"/>
      <c r="D3" s="4"/>
      <c r="E3" s="4"/>
      <c r="F3" s="4"/>
      <c r="G3" s="5"/>
      <c r="H3" s="6"/>
      <c r="I3" s="6"/>
      <c r="J3" s="6"/>
      <c r="K3" s="6"/>
      <c r="L3" s="6"/>
      <c r="M3" s="7"/>
    </row>
    <row r="4" spans="1:13" ht="20" x14ac:dyDescent="0.2">
      <c r="A4" s="2"/>
      <c r="B4" s="8"/>
      <c r="C4" s="1"/>
      <c r="D4" s="9"/>
      <c r="E4" s="10"/>
      <c r="F4" s="10"/>
      <c r="G4" s="11"/>
      <c r="H4" s="11"/>
      <c r="I4" s="11"/>
      <c r="J4" s="11"/>
      <c r="K4" s="11"/>
      <c r="L4" s="11"/>
      <c r="M4" s="11"/>
    </row>
    <row r="5" spans="1:13" ht="16" thickBot="1" x14ac:dyDescent="0.25">
      <c r="A5" s="2"/>
      <c r="B5" s="12" t="s">
        <v>2</v>
      </c>
      <c r="C5" s="1"/>
      <c r="D5" s="9"/>
      <c r="E5" s="14"/>
      <c r="F5" s="14"/>
      <c r="G5" s="15"/>
      <c r="H5" s="16">
        <f>F52</f>
        <v>2023</v>
      </c>
      <c r="I5" s="16">
        <f>H5+1</f>
        <v>2024</v>
      </c>
      <c r="J5" s="16">
        <f t="shared" ref="J5:L5" si="0">I5+1</f>
        <v>2025</v>
      </c>
      <c r="K5" s="16">
        <f t="shared" si="0"/>
        <v>2026</v>
      </c>
      <c r="L5" s="16">
        <f t="shared" si="0"/>
        <v>2027</v>
      </c>
      <c r="M5" s="1"/>
    </row>
    <row r="6" spans="1:13" ht="16" x14ac:dyDescent="0.2">
      <c r="A6" s="17"/>
      <c r="B6" s="17"/>
      <c r="C6" s="18"/>
      <c r="D6" s="17"/>
      <c r="E6" s="20"/>
      <c r="F6" s="20"/>
      <c r="G6" s="20"/>
      <c r="H6" s="20"/>
      <c r="I6" s="20"/>
      <c r="J6" s="21"/>
      <c r="K6" s="22"/>
      <c r="L6" s="17"/>
      <c r="M6" s="1"/>
    </row>
    <row r="7" spans="1:13" ht="16" x14ac:dyDescent="0.2">
      <c r="A7" s="17"/>
      <c r="B7" s="23"/>
      <c r="C7" s="17"/>
      <c r="D7" s="17"/>
      <c r="E7" s="24">
        <v>2</v>
      </c>
      <c r="F7" s="20"/>
      <c r="G7" s="20"/>
      <c r="H7" s="20"/>
      <c r="I7" s="20"/>
      <c r="J7" s="21"/>
      <c r="K7" s="22"/>
      <c r="L7" s="17"/>
      <c r="M7" s="17"/>
    </row>
    <row r="8" spans="1:13" ht="16" x14ac:dyDescent="0.2">
      <c r="A8" s="17"/>
      <c r="B8" s="17"/>
      <c r="C8" s="17"/>
      <c r="D8" s="20"/>
      <c r="E8" s="20"/>
      <c r="F8" s="20"/>
      <c r="G8" s="20"/>
      <c r="H8" s="20"/>
      <c r="I8" s="21"/>
      <c r="J8" s="22"/>
      <c r="K8" s="17"/>
      <c r="L8" s="17"/>
      <c r="M8" s="25"/>
    </row>
    <row r="9" spans="1:13" ht="16" x14ac:dyDescent="0.2">
      <c r="A9" s="17"/>
      <c r="B9" s="17"/>
      <c r="C9" s="17"/>
      <c r="D9" s="20"/>
      <c r="E9" s="20"/>
      <c r="F9" s="20"/>
      <c r="G9" s="20"/>
      <c r="H9" s="20"/>
      <c r="I9" s="21"/>
      <c r="J9" s="22"/>
      <c r="K9" s="17"/>
      <c r="L9" s="17"/>
      <c r="M9" s="17"/>
    </row>
    <row r="10" spans="1:13" ht="16" x14ac:dyDescent="0.2">
      <c r="A10" s="17"/>
      <c r="B10" s="23"/>
      <c r="C10" s="296" t="s">
        <v>4</v>
      </c>
      <c r="D10" s="17"/>
      <c r="E10" s="20"/>
      <c r="F10" s="20"/>
      <c r="G10" s="20"/>
      <c r="H10" s="26" cm="1">
        <f t="array" ref="H10">INDEX(H12:H14,$E$7)</f>
        <v>0.02</v>
      </c>
      <c r="I10" s="27" cm="1">
        <f t="array" ref="I10">INDEX(I12:I14,$E$7)</f>
        <v>0.01</v>
      </c>
      <c r="J10" s="27" cm="1">
        <f t="array" ref="J10">INDEX(J12:J14,$E$7)</f>
        <v>0.01</v>
      </c>
      <c r="K10" s="27" cm="1">
        <f t="array" ref="K10">INDEX(K12:K14,$E$7)</f>
        <v>5.0000000000000001E-3</v>
      </c>
      <c r="L10" s="28" cm="1">
        <f t="array" ref="L10">INDEX(L12:L14,$E$7)</f>
        <v>5.0000000000000001E-3</v>
      </c>
      <c r="M10" s="17"/>
    </row>
    <row r="11" spans="1:13" ht="16" x14ac:dyDescent="0.2">
      <c r="A11" s="17"/>
      <c r="B11" s="17"/>
      <c r="C11" s="17"/>
      <c r="D11" s="20"/>
      <c r="E11" s="20"/>
      <c r="F11" s="20"/>
      <c r="G11" s="20"/>
      <c r="H11" s="29"/>
      <c r="I11" s="30"/>
      <c r="J11" s="31"/>
      <c r="K11" s="32"/>
      <c r="L11" s="32"/>
      <c r="M11" s="17"/>
    </row>
    <row r="12" spans="1:13" ht="16" x14ac:dyDescent="0.2">
      <c r="A12" s="20"/>
      <c r="B12" s="33"/>
      <c r="C12" s="295" t="s">
        <v>5</v>
      </c>
      <c r="D12" s="20"/>
      <c r="E12" s="20"/>
      <c r="F12" s="20"/>
      <c r="G12" s="20"/>
      <c r="H12" s="34">
        <v>0.03</v>
      </c>
      <c r="I12" s="35">
        <v>0.02</v>
      </c>
      <c r="J12" s="35">
        <v>0.02</v>
      </c>
      <c r="K12" s="35">
        <v>1.4999999999999999E-2</v>
      </c>
      <c r="L12" s="36">
        <v>1.4999999999999999E-2</v>
      </c>
      <c r="M12" s="17"/>
    </row>
    <row r="13" spans="1:13" ht="16" x14ac:dyDescent="0.2">
      <c r="A13" s="20"/>
      <c r="B13" s="33"/>
      <c r="C13" s="295" t="s">
        <v>6</v>
      </c>
      <c r="D13" s="20"/>
      <c r="E13" s="20"/>
      <c r="F13" s="20"/>
      <c r="G13" s="20"/>
      <c r="H13" s="37">
        <v>0.02</v>
      </c>
      <c r="I13" s="38">
        <v>0.01</v>
      </c>
      <c r="J13" s="38">
        <v>0.01</v>
      </c>
      <c r="K13" s="38">
        <v>5.0000000000000001E-3</v>
      </c>
      <c r="L13" s="39">
        <v>5.0000000000000001E-3</v>
      </c>
      <c r="M13" s="17"/>
    </row>
    <row r="14" spans="1:13" ht="16" x14ac:dyDescent="0.2">
      <c r="A14" s="20"/>
      <c r="B14" s="33"/>
      <c r="C14" s="295" t="s">
        <v>7</v>
      </c>
      <c r="D14" s="20"/>
      <c r="E14" s="20"/>
      <c r="F14" s="20"/>
      <c r="G14" s="20"/>
      <c r="H14" s="40">
        <v>0.01</v>
      </c>
      <c r="I14" s="41">
        <v>0.01</v>
      </c>
      <c r="J14" s="41">
        <v>5.0000000000000001E-3</v>
      </c>
      <c r="K14" s="41">
        <v>5.0000000000000001E-3</v>
      </c>
      <c r="L14" s="42">
        <v>5.0000000000000001E-3</v>
      </c>
      <c r="M14" s="17"/>
    </row>
    <row r="15" spans="1:13" ht="16" x14ac:dyDescent="0.2">
      <c r="A15" s="17"/>
      <c r="B15" s="18"/>
      <c r="C15" s="17"/>
      <c r="D15" s="43"/>
      <c r="E15" s="43"/>
      <c r="F15" s="43"/>
      <c r="G15" s="43"/>
      <c r="H15" s="29"/>
      <c r="I15" s="30"/>
      <c r="J15" s="31"/>
      <c r="K15" s="32"/>
      <c r="L15" s="32"/>
      <c r="M15" s="17"/>
    </row>
    <row r="16" spans="1:13" ht="16" x14ac:dyDescent="0.2">
      <c r="A16" s="17"/>
      <c r="B16" s="18"/>
      <c r="C16" s="17"/>
      <c r="D16" s="43"/>
      <c r="E16" s="43"/>
      <c r="F16" s="43"/>
      <c r="G16" s="43"/>
      <c r="H16" s="29"/>
      <c r="I16" s="30"/>
      <c r="J16" s="31"/>
      <c r="K16" s="32"/>
      <c r="L16" s="32"/>
      <c r="M16" s="17"/>
    </row>
    <row r="17" spans="1:13" ht="16" x14ac:dyDescent="0.2">
      <c r="A17" s="17"/>
      <c r="B17" s="23"/>
      <c r="C17" s="296" t="s">
        <v>8</v>
      </c>
      <c r="D17" s="43"/>
      <c r="E17" s="43"/>
      <c r="F17" s="43"/>
      <c r="G17" s="43"/>
      <c r="H17" s="26" cm="1">
        <f t="array" ref="H17">INDEX(H19:H21,$E$7)</f>
        <v>0.03</v>
      </c>
      <c r="I17" s="27" cm="1">
        <f t="array" ref="I17">INDEX(I19:I21,$E$7)</f>
        <v>0.01</v>
      </c>
      <c r="J17" s="27" cm="1">
        <f t="array" ref="J17">INDEX(J19:J21,$E$7)</f>
        <v>0.01</v>
      </c>
      <c r="K17" s="27" cm="1">
        <f t="array" ref="K17">INDEX(K19:K21,$E$7)</f>
        <v>0.01</v>
      </c>
      <c r="L17" s="28" cm="1">
        <f t="array" ref="L17">INDEX(L19:L21,$E$7)</f>
        <v>5.0000000000000001E-3</v>
      </c>
      <c r="M17" s="17"/>
    </row>
    <row r="18" spans="1:13" ht="16" x14ac:dyDescent="0.2">
      <c r="A18" s="17"/>
      <c r="B18" s="18"/>
      <c r="C18" s="17"/>
      <c r="D18" s="43"/>
      <c r="E18" s="43"/>
      <c r="F18" s="43"/>
      <c r="G18" s="43"/>
      <c r="H18" s="44"/>
      <c r="I18" s="45"/>
      <c r="J18" s="46"/>
      <c r="K18" s="47"/>
      <c r="L18" s="47"/>
      <c r="M18" s="17"/>
    </row>
    <row r="19" spans="1:13" ht="16" x14ac:dyDescent="0.2">
      <c r="A19" s="17"/>
      <c r="B19" s="48"/>
      <c r="C19" s="295" t="s">
        <v>5</v>
      </c>
      <c r="D19" s="20"/>
      <c r="E19" s="20"/>
      <c r="F19" s="20"/>
      <c r="G19" s="20"/>
      <c r="H19" s="34">
        <v>3.5000000000000003E-2</v>
      </c>
      <c r="I19" s="35">
        <v>0.02</v>
      </c>
      <c r="J19" s="35">
        <v>0.02</v>
      </c>
      <c r="K19" s="35">
        <v>0.02</v>
      </c>
      <c r="L19" s="36">
        <v>1.4999999999999999E-2</v>
      </c>
      <c r="M19" s="17"/>
    </row>
    <row r="20" spans="1:13" ht="16" x14ac:dyDescent="0.2">
      <c r="A20" s="17"/>
      <c r="B20" s="48"/>
      <c r="C20" s="295" t="s">
        <v>6</v>
      </c>
      <c r="D20" s="20"/>
      <c r="E20" s="20"/>
      <c r="F20" s="20"/>
      <c r="G20" s="20"/>
      <c r="H20" s="37">
        <v>0.03</v>
      </c>
      <c r="I20" s="38">
        <v>0.01</v>
      </c>
      <c r="J20" s="38">
        <v>0.01</v>
      </c>
      <c r="K20" s="38">
        <v>0.01</v>
      </c>
      <c r="L20" s="39">
        <v>5.0000000000000001E-3</v>
      </c>
      <c r="M20" s="49"/>
    </row>
    <row r="21" spans="1:13" ht="16" x14ac:dyDescent="0.2">
      <c r="A21" s="17"/>
      <c r="B21" s="48"/>
      <c r="C21" s="295" t="s">
        <v>7</v>
      </c>
      <c r="D21" s="20"/>
      <c r="E21" s="20"/>
      <c r="F21" s="20"/>
      <c r="G21" s="20"/>
      <c r="H21" s="40">
        <v>0.01</v>
      </c>
      <c r="I21" s="41">
        <v>0.01</v>
      </c>
      <c r="J21" s="41">
        <v>5.0000000000000001E-3</v>
      </c>
      <c r="K21" s="41">
        <v>5.0000000000000001E-3</v>
      </c>
      <c r="L21" s="42">
        <v>5.0000000000000001E-3</v>
      </c>
      <c r="M21" s="17"/>
    </row>
    <row r="22" spans="1:13" ht="20" x14ac:dyDescent="0.2">
      <c r="A22" s="17"/>
      <c r="B22" s="50"/>
      <c r="C22" s="17"/>
      <c r="D22" s="50"/>
      <c r="E22" s="50"/>
      <c r="F22" s="50"/>
      <c r="G22" s="50"/>
      <c r="H22" s="50"/>
      <c r="I22" s="50"/>
      <c r="J22" s="50"/>
      <c r="K22" s="50"/>
      <c r="L22" s="50"/>
      <c r="M22" s="50"/>
    </row>
    <row r="23" spans="1:13" ht="20" x14ac:dyDescent="0.2">
      <c r="A23" s="17"/>
      <c r="B23" s="50"/>
      <c r="C23" s="17"/>
      <c r="D23" s="50"/>
      <c r="E23" s="50"/>
      <c r="F23" s="50"/>
      <c r="G23" s="50"/>
      <c r="H23" s="50"/>
      <c r="I23" s="50"/>
      <c r="J23" s="50"/>
      <c r="K23" s="50"/>
      <c r="L23" s="50"/>
      <c r="M23" s="50"/>
    </row>
    <row r="24" spans="1:13" ht="20" x14ac:dyDescent="0.2">
      <c r="A24" s="17"/>
      <c r="B24" s="23"/>
      <c r="C24" s="296" t="s">
        <v>9</v>
      </c>
      <c r="D24" s="43"/>
      <c r="E24" s="43"/>
      <c r="F24" s="43"/>
      <c r="G24" s="43"/>
      <c r="H24" s="51" cm="1">
        <f t="array" ref="H24">INDEX(H26:H28,$E$7)</f>
        <v>25475</v>
      </c>
      <c r="I24" s="52" cm="1">
        <f t="array" ref="I24">INDEX(I26:I28,$E$7)</f>
        <v>7050</v>
      </c>
      <c r="J24" s="52" cm="1">
        <f t="array" ref="J24">INDEX(J26:J28,$E$7)</f>
        <v>7275</v>
      </c>
      <c r="K24" s="52" cm="1">
        <f t="array" ref="K24">INDEX(K26:K28,$E$7)</f>
        <v>7200</v>
      </c>
      <c r="L24" s="53" cm="1">
        <f t="array" ref="L24">INDEX(L26:L28,$E$7)</f>
        <v>7687.5</v>
      </c>
      <c r="M24" s="50"/>
    </row>
    <row r="25" spans="1:13" ht="20" x14ac:dyDescent="0.2">
      <c r="A25" s="17"/>
      <c r="B25" s="18"/>
      <c r="C25" s="17"/>
      <c r="D25" s="43"/>
      <c r="E25" s="43"/>
      <c r="F25" s="43"/>
      <c r="G25" s="43"/>
      <c r="H25" s="54"/>
      <c r="I25" s="55"/>
      <c r="J25" s="56"/>
      <c r="K25" s="57"/>
      <c r="L25" s="57"/>
      <c r="M25" s="50"/>
    </row>
    <row r="26" spans="1:13" ht="20" x14ac:dyDescent="0.2">
      <c r="A26" s="17"/>
      <c r="B26" s="48"/>
      <c r="C26" s="295" t="s">
        <v>5</v>
      </c>
      <c r="D26" s="20"/>
      <c r="E26" s="20"/>
      <c r="F26" s="43"/>
      <c r="G26" s="20"/>
      <c r="H26" s="58">
        <v>23000</v>
      </c>
      <c r="I26" s="59">
        <v>6450</v>
      </c>
      <c r="J26" s="59">
        <v>6600</v>
      </c>
      <c r="K26" s="59">
        <v>6900</v>
      </c>
      <c r="L26" s="60">
        <v>7200</v>
      </c>
      <c r="M26" s="50"/>
    </row>
    <row r="27" spans="1:13" ht="20" x14ac:dyDescent="0.2">
      <c r="A27" s="17"/>
      <c r="B27" s="48"/>
      <c r="C27" s="295" t="s">
        <v>6</v>
      </c>
      <c r="D27" s="20"/>
      <c r="E27" s="20"/>
      <c r="F27" s="20"/>
      <c r="G27" s="20"/>
      <c r="H27" s="61">
        <v>25475</v>
      </c>
      <c r="I27" s="62">
        <v>7050</v>
      </c>
      <c r="J27" s="62">
        <v>7275</v>
      </c>
      <c r="K27" s="62">
        <v>7200</v>
      </c>
      <c r="L27" s="63">
        <v>7687.5</v>
      </c>
      <c r="M27" s="50"/>
    </row>
    <row r="28" spans="1:13" ht="20" x14ac:dyDescent="0.2">
      <c r="A28" s="17"/>
      <c r="B28" s="48"/>
      <c r="C28" s="295" t="s">
        <v>7</v>
      </c>
      <c r="D28" s="20"/>
      <c r="E28" s="20"/>
      <c r="F28" s="20"/>
      <c r="G28" s="20"/>
      <c r="H28" s="64">
        <v>27500</v>
      </c>
      <c r="I28" s="65">
        <v>7800</v>
      </c>
      <c r="J28" s="65">
        <v>8100</v>
      </c>
      <c r="K28" s="65">
        <v>8250</v>
      </c>
      <c r="L28" s="66">
        <v>8400</v>
      </c>
      <c r="M28" s="50"/>
    </row>
    <row r="29" spans="1:13" ht="20" x14ac:dyDescent="0.2">
      <c r="A29" s="17"/>
      <c r="B29" s="17"/>
      <c r="C29" s="18"/>
      <c r="D29" s="43"/>
      <c r="E29" s="43"/>
      <c r="F29" s="43"/>
      <c r="G29" s="43"/>
      <c r="H29" s="67"/>
      <c r="I29" s="67"/>
      <c r="J29" s="67"/>
      <c r="K29" s="67"/>
      <c r="L29" s="67"/>
      <c r="M29" s="50"/>
    </row>
    <row r="30" spans="1:13" ht="16" x14ac:dyDescent="0.2">
      <c r="A30" s="17"/>
      <c r="B30" s="17"/>
      <c r="C30" s="18"/>
      <c r="D30" s="43"/>
      <c r="E30" s="43"/>
      <c r="F30" s="43"/>
      <c r="G30" s="43"/>
      <c r="H30" s="67"/>
      <c r="I30" s="67"/>
      <c r="J30" s="67"/>
      <c r="K30" s="67"/>
      <c r="L30" s="67"/>
      <c r="M30" s="17"/>
    </row>
    <row r="31" spans="1:13" ht="16" x14ac:dyDescent="0.2">
      <c r="A31" s="17"/>
      <c r="B31" s="68"/>
      <c r="C31" s="69"/>
      <c r="D31" s="69"/>
      <c r="E31" s="69"/>
      <c r="F31" s="69"/>
      <c r="G31" s="69"/>
      <c r="H31" s="69"/>
      <c r="I31" s="70"/>
      <c r="J31" s="70"/>
      <c r="K31" s="70"/>
      <c r="L31" s="70"/>
      <c r="M31" s="68"/>
    </row>
    <row r="32" spans="1:13" ht="16" x14ac:dyDescent="0.2">
      <c r="A32" s="17"/>
      <c r="B32" s="17"/>
      <c r="C32" s="20"/>
      <c r="D32" s="20"/>
      <c r="E32" s="20"/>
      <c r="F32" s="20"/>
      <c r="G32" s="20"/>
      <c r="H32" s="20"/>
      <c r="I32" s="71"/>
      <c r="J32" s="71"/>
      <c r="K32" s="71"/>
      <c r="L32" s="71"/>
      <c r="M32" s="17"/>
    </row>
    <row r="33" spans="1:13" ht="20" x14ac:dyDescent="0.2">
      <c r="A33" s="2" t="s">
        <v>0</v>
      </c>
      <c r="B33" s="3"/>
      <c r="C33" s="4"/>
      <c r="D33" s="4"/>
      <c r="E33" s="5"/>
      <c r="F33" s="5"/>
      <c r="G33" s="6"/>
      <c r="H33" s="6"/>
      <c r="I33" s="6"/>
      <c r="J33" s="6"/>
      <c r="K33" s="6"/>
      <c r="L33" s="6"/>
      <c r="M33" s="1"/>
    </row>
    <row r="34" spans="1:13" ht="15" x14ac:dyDescent="0.2">
      <c r="A34" s="2"/>
      <c r="B34" s="12"/>
      <c r="C34" s="1"/>
      <c r="D34" s="72"/>
      <c r="E34" s="72"/>
      <c r="F34" s="72"/>
      <c r="G34" s="72"/>
      <c r="H34" s="73"/>
      <c r="I34" s="74"/>
      <c r="J34" s="74"/>
      <c r="K34" s="74"/>
      <c r="L34" s="74"/>
      <c r="M34" s="1"/>
    </row>
    <row r="35" spans="1:13" ht="16" thickBot="1" x14ac:dyDescent="0.25">
      <c r="A35" s="2"/>
      <c r="B35" s="12" t="s">
        <v>2</v>
      </c>
      <c r="C35" s="1"/>
      <c r="D35" s="9"/>
      <c r="E35" s="14"/>
      <c r="F35" s="14"/>
      <c r="G35" s="15"/>
      <c r="H35" s="16">
        <f>F52</f>
        <v>2023</v>
      </c>
      <c r="I35" s="16">
        <f>H35+1</f>
        <v>2024</v>
      </c>
      <c r="J35" s="16">
        <f t="shared" ref="J35:L35" si="1">I35+1</f>
        <v>2025</v>
      </c>
      <c r="K35" s="16">
        <f t="shared" si="1"/>
        <v>2026</v>
      </c>
      <c r="L35" s="16">
        <f t="shared" si="1"/>
        <v>2027</v>
      </c>
      <c r="M35" s="1"/>
    </row>
    <row r="36" spans="1:13" ht="16" x14ac:dyDescent="0.2">
      <c r="A36" s="17"/>
      <c r="B36" s="17"/>
      <c r="C36" s="18"/>
      <c r="D36" s="17"/>
      <c r="E36" s="20"/>
      <c r="F36" s="20"/>
      <c r="G36" s="20"/>
      <c r="H36" s="20"/>
      <c r="I36" s="20"/>
      <c r="J36" s="21"/>
      <c r="K36" s="22"/>
      <c r="L36" s="17"/>
      <c r="M36" s="1"/>
    </row>
    <row r="37" spans="1:13" ht="16" x14ac:dyDescent="0.2">
      <c r="A37" s="17"/>
      <c r="B37" s="17"/>
      <c r="C37" s="18"/>
      <c r="D37" s="17"/>
      <c r="E37" s="20"/>
      <c r="F37" s="20"/>
      <c r="G37" s="20"/>
      <c r="H37" s="20"/>
      <c r="I37" s="20"/>
      <c r="J37" s="21"/>
      <c r="K37" s="22"/>
      <c r="L37" s="17"/>
      <c r="M37" s="1"/>
    </row>
    <row r="38" spans="1:13" ht="20" x14ac:dyDescent="0.2">
      <c r="A38" s="17"/>
      <c r="B38" s="23"/>
      <c r="C38" s="296" t="s">
        <v>10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</row>
    <row r="39" spans="1:13" ht="20" x14ac:dyDescent="0.2">
      <c r="A39" s="17"/>
      <c r="B39" s="75"/>
      <c r="C39" s="17" t="s">
        <v>187</v>
      </c>
      <c r="D39" s="50"/>
      <c r="E39" s="50"/>
      <c r="F39" s="76" t="s">
        <v>12</v>
      </c>
      <c r="G39" s="50"/>
      <c r="H39" s="58">
        <v>45</v>
      </c>
      <c r="I39" s="59">
        <v>45</v>
      </c>
      <c r="J39" s="59">
        <v>45</v>
      </c>
      <c r="K39" s="59">
        <v>45</v>
      </c>
      <c r="L39" s="60">
        <v>45</v>
      </c>
      <c r="M39" s="50"/>
    </row>
    <row r="40" spans="1:13" ht="20" x14ac:dyDescent="0.2">
      <c r="A40" s="17"/>
      <c r="B40" s="75"/>
      <c r="C40" s="17" t="s">
        <v>13</v>
      </c>
      <c r="D40" s="50"/>
      <c r="E40" s="50"/>
      <c r="F40" s="76" t="s">
        <v>12</v>
      </c>
      <c r="G40" s="50"/>
      <c r="H40" s="61">
        <v>25</v>
      </c>
      <c r="I40" s="62">
        <v>25</v>
      </c>
      <c r="J40" s="62">
        <v>25</v>
      </c>
      <c r="K40" s="62">
        <v>25</v>
      </c>
      <c r="L40" s="63">
        <v>25</v>
      </c>
      <c r="M40" s="50"/>
    </row>
    <row r="41" spans="1:13" ht="20" x14ac:dyDescent="0.2">
      <c r="A41" s="17"/>
      <c r="B41" s="75"/>
      <c r="C41" s="17" t="s">
        <v>14</v>
      </c>
      <c r="D41" s="50"/>
      <c r="E41" s="50"/>
      <c r="F41" s="76" t="s">
        <v>12</v>
      </c>
      <c r="G41" s="50"/>
      <c r="H41" s="64">
        <v>40</v>
      </c>
      <c r="I41" s="65">
        <v>40</v>
      </c>
      <c r="J41" s="65">
        <v>40</v>
      </c>
      <c r="K41" s="65">
        <v>40</v>
      </c>
      <c r="L41" s="66">
        <v>40</v>
      </c>
      <c r="M41" s="50"/>
    </row>
    <row r="42" spans="1:13" ht="20" x14ac:dyDescent="0.2">
      <c r="A42" s="17"/>
      <c r="B42" s="17"/>
      <c r="C42" s="17"/>
      <c r="D42" s="50"/>
      <c r="E42" s="50"/>
      <c r="F42" s="50"/>
      <c r="G42" s="50"/>
      <c r="H42" s="50"/>
      <c r="I42" s="50"/>
      <c r="J42" s="50"/>
      <c r="K42" s="50"/>
      <c r="L42" s="50"/>
      <c r="M42" s="50"/>
    </row>
    <row r="43" spans="1:13" ht="20" x14ac:dyDescent="0.2">
      <c r="A43" s="17"/>
      <c r="B43" s="17"/>
      <c r="C43" s="17"/>
      <c r="D43" s="43"/>
      <c r="E43" s="43"/>
      <c r="F43" s="43"/>
      <c r="G43" s="43"/>
      <c r="H43" s="50"/>
      <c r="I43" s="50"/>
      <c r="J43" s="50"/>
      <c r="K43" s="50"/>
      <c r="L43" s="50"/>
      <c r="M43" s="17"/>
    </row>
    <row r="44" spans="1:13" ht="20" x14ac:dyDescent="0.2">
      <c r="A44" s="17"/>
      <c r="B44" s="23"/>
      <c r="C44" s="296" t="s">
        <v>15</v>
      </c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20" x14ac:dyDescent="0.2">
      <c r="A45" s="17"/>
      <c r="B45" s="75"/>
      <c r="C45" s="17" t="s">
        <v>16</v>
      </c>
      <c r="D45" s="43"/>
      <c r="E45" s="43"/>
      <c r="F45" s="43"/>
      <c r="G45" s="43"/>
      <c r="H45" s="77">
        <v>3.5000000000000003E-2</v>
      </c>
      <c r="I45" s="78">
        <v>0.03</v>
      </c>
      <c r="J45" s="78">
        <v>0.03</v>
      </c>
      <c r="K45" s="78">
        <v>2.5000000000000001E-2</v>
      </c>
      <c r="L45" s="79">
        <v>2.5000000000000001E-2</v>
      </c>
      <c r="M45" s="50"/>
    </row>
    <row r="46" spans="1:13" ht="16" x14ac:dyDescent="0.2">
      <c r="A46" s="17"/>
      <c r="B46" s="75"/>
      <c r="C46" s="17" t="s">
        <v>17</v>
      </c>
      <c r="D46" s="43"/>
      <c r="E46" s="43"/>
      <c r="F46" s="76" t="s">
        <v>18</v>
      </c>
      <c r="G46" s="43"/>
      <c r="H46" s="61">
        <v>-4000</v>
      </c>
      <c r="I46" s="62">
        <v>-4000</v>
      </c>
      <c r="J46" s="62">
        <v>-4000</v>
      </c>
      <c r="K46" s="62">
        <v>-4000</v>
      </c>
      <c r="L46" s="63">
        <v>-4000</v>
      </c>
      <c r="M46" s="17"/>
    </row>
    <row r="47" spans="1:13" ht="16" x14ac:dyDescent="0.2">
      <c r="A47" s="17"/>
      <c r="B47" s="75"/>
      <c r="C47" s="17" t="s">
        <v>19</v>
      </c>
      <c r="D47" s="43"/>
      <c r="E47" s="43"/>
      <c r="F47" s="76" t="s">
        <v>18</v>
      </c>
      <c r="G47" s="43"/>
      <c r="H47" s="64">
        <v>-1000</v>
      </c>
      <c r="I47" s="65">
        <v>-1000</v>
      </c>
      <c r="J47" s="65">
        <v>-1000</v>
      </c>
      <c r="K47" s="65">
        <v>-1000</v>
      </c>
      <c r="L47" s="66">
        <v>-1000</v>
      </c>
      <c r="M47" s="17"/>
    </row>
    <row r="48" spans="1:13" ht="20" x14ac:dyDescent="0.2">
      <c r="A48" s="17"/>
      <c r="B48" s="17"/>
      <c r="C48" s="8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ht="20" x14ac:dyDescent="0.2">
      <c r="A49" s="17"/>
      <c r="B49" s="17"/>
      <c r="C49" s="8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ht="20" x14ac:dyDescent="0.2">
      <c r="A50" s="17"/>
      <c r="B50" s="17"/>
      <c r="C50" s="8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5" x14ac:dyDescent="0.2">
      <c r="A51" s="2"/>
      <c r="B51" s="2"/>
      <c r="C51" s="18" t="s">
        <v>20</v>
      </c>
      <c r="D51" s="19"/>
      <c r="E51" s="19"/>
      <c r="F51" s="19"/>
      <c r="G51" s="1"/>
      <c r="H51" s="81" t="s">
        <v>21</v>
      </c>
      <c r="I51" s="82"/>
      <c r="J51" s="82"/>
      <c r="K51" s="82"/>
      <c r="L51" s="82"/>
      <c r="M51" s="1"/>
    </row>
    <row r="52" spans="1:13" ht="15" x14ac:dyDescent="0.2">
      <c r="A52" s="2"/>
      <c r="B52" s="2"/>
      <c r="C52" s="83" t="s">
        <v>22</v>
      </c>
      <c r="D52" s="84"/>
      <c r="E52" s="85" t="s">
        <v>23</v>
      </c>
      <c r="F52" s="86">
        <v>2023</v>
      </c>
      <c r="G52" s="1"/>
      <c r="H52" s="87" t="s">
        <v>24</v>
      </c>
      <c r="I52" s="20"/>
      <c r="J52" s="20"/>
      <c r="K52" s="20"/>
      <c r="L52" s="88">
        <v>0.3</v>
      </c>
      <c r="M52" s="1"/>
    </row>
    <row r="53" spans="1:13" ht="15" x14ac:dyDescent="0.2">
      <c r="A53" s="2"/>
      <c r="B53" s="2"/>
      <c r="C53" s="89" t="s">
        <v>25</v>
      </c>
      <c r="D53" s="90"/>
      <c r="E53" s="91"/>
      <c r="F53" s="92">
        <v>365</v>
      </c>
      <c r="G53" s="1"/>
      <c r="H53" s="87" t="s">
        <v>26</v>
      </c>
      <c r="I53" s="20"/>
      <c r="J53" s="20"/>
      <c r="K53" s="20"/>
      <c r="L53" s="88">
        <v>0.5</v>
      </c>
      <c r="M53" s="1"/>
    </row>
    <row r="54" spans="1:13" ht="15" x14ac:dyDescent="0.2">
      <c r="A54" s="2"/>
      <c r="B54" s="2"/>
      <c r="C54" s="20"/>
      <c r="D54" s="90"/>
      <c r="E54" s="90"/>
      <c r="F54" s="91"/>
      <c r="G54" s="92"/>
      <c r="H54" s="87" t="s">
        <v>27</v>
      </c>
      <c r="I54" s="93"/>
      <c r="J54" s="91"/>
      <c r="K54" s="94"/>
      <c r="L54" s="67">
        <v>0.15</v>
      </c>
      <c r="M54" s="1"/>
    </row>
    <row r="55" spans="1:13" ht="16" x14ac:dyDescent="0.2">
      <c r="A55" s="2"/>
      <c r="B55" s="2"/>
      <c r="C55" s="1"/>
      <c r="D55" s="1"/>
      <c r="E55" s="1"/>
      <c r="F55" s="1"/>
      <c r="G55" s="1"/>
      <c r="H55" s="87" t="s">
        <v>28</v>
      </c>
      <c r="I55" s="95"/>
      <c r="J55" s="17"/>
      <c r="K55" s="76" t="s">
        <v>29</v>
      </c>
      <c r="L55" s="92">
        <v>39211</v>
      </c>
      <c r="M55" s="1"/>
    </row>
    <row r="56" spans="1:13" ht="16" x14ac:dyDescent="0.2">
      <c r="A56" s="2"/>
      <c r="B56" s="2"/>
      <c r="C56" s="81" t="s">
        <v>30</v>
      </c>
      <c r="D56" s="82"/>
      <c r="E56" s="82"/>
      <c r="F56" s="82"/>
      <c r="G56" s="1"/>
      <c r="H56" s="87" t="s">
        <v>31</v>
      </c>
      <c r="I56" s="19"/>
      <c r="J56" s="17"/>
      <c r="K56" s="76" t="s">
        <v>29</v>
      </c>
      <c r="L56" s="96">
        <v>2657</v>
      </c>
      <c r="M56" s="97"/>
    </row>
    <row r="57" spans="1:13" ht="15" x14ac:dyDescent="0.2">
      <c r="A57" s="2"/>
      <c r="B57" s="2"/>
      <c r="C57" s="89" t="s">
        <v>32</v>
      </c>
      <c r="D57" s="20"/>
      <c r="E57" s="76" t="s">
        <v>33</v>
      </c>
      <c r="F57" s="92">
        <v>1600</v>
      </c>
      <c r="G57" s="1"/>
      <c r="H57" s="1"/>
      <c r="I57" s="1"/>
      <c r="J57" s="1"/>
      <c r="K57" s="1"/>
      <c r="L57" s="1"/>
      <c r="M57" s="97"/>
    </row>
    <row r="58" spans="1:13" ht="15" x14ac:dyDescent="0.2">
      <c r="A58" s="2"/>
      <c r="B58" s="2"/>
      <c r="C58" s="89" t="s">
        <v>34</v>
      </c>
      <c r="D58" s="20"/>
      <c r="E58" s="20"/>
      <c r="F58" s="88">
        <v>0.2</v>
      </c>
      <c r="G58" s="1"/>
      <c r="H58" s="1"/>
      <c r="I58" s="1"/>
      <c r="J58" s="1"/>
      <c r="K58" s="1"/>
      <c r="L58" s="1"/>
      <c r="M58" s="97"/>
    </row>
    <row r="59" spans="1:13" ht="15" x14ac:dyDescent="0.2">
      <c r="A59" s="2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97"/>
    </row>
    <row r="60" spans="1:13" ht="15" x14ac:dyDescent="0.2">
      <c r="A60" s="2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" x14ac:dyDescent="0.2">
      <c r="A61" s="2"/>
      <c r="B61" s="2"/>
      <c r="C61" s="18" t="s">
        <v>35</v>
      </c>
      <c r="D61" s="19"/>
      <c r="E61" s="19"/>
      <c r="F61" s="19"/>
      <c r="G61" s="1"/>
      <c r="H61" s="18" t="s">
        <v>36</v>
      </c>
      <c r="I61" s="19"/>
      <c r="J61" s="19"/>
      <c r="K61" s="19"/>
      <c r="L61" s="1"/>
      <c r="M61" s="1"/>
    </row>
    <row r="62" spans="1:13" ht="15" x14ac:dyDescent="0.2">
      <c r="A62" s="2"/>
      <c r="B62" s="2"/>
      <c r="C62" s="83" t="s">
        <v>37</v>
      </c>
      <c r="D62" s="84"/>
      <c r="E62" s="84"/>
      <c r="F62" s="98">
        <v>0.01</v>
      </c>
      <c r="G62" s="1"/>
      <c r="H62" s="83" t="s">
        <v>38</v>
      </c>
      <c r="I62" s="84"/>
      <c r="J62" s="84"/>
      <c r="K62" s="84"/>
      <c r="L62" s="99">
        <v>0.5</v>
      </c>
      <c r="M62" s="1"/>
    </row>
    <row r="63" spans="1:13" ht="16" x14ac:dyDescent="0.2">
      <c r="A63" s="17"/>
      <c r="B63" s="17"/>
      <c r="C63" s="89" t="s">
        <v>39</v>
      </c>
      <c r="D63" s="20"/>
      <c r="E63" s="20"/>
      <c r="F63" s="38">
        <v>0.05</v>
      </c>
      <c r="G63" s="1"/>
      <c r="H63" s="89" t="s">
        <v>40</v>
      </c>
      <c r="I63" s="20"/>
      <c r="J63" s="20"/>
      <c r="K63" s="76" t="s">
        <v>41</v>
      </c>
      <c r="L63" s="100">
        <v>16</v>
      </c>
      <c r="M63" s="17"/>
    </row>
    <row r="64" spans="1:13" ht="20" x14ac:dyDescent="0.2">
      <c r="A64" s="17"/>
      <c r="B64" s="17"/>
      <c r="C64" s="89" t="s">
        <v>42</v>
      </c>
      <c r="D64" s="20"/>
      <c r="E64" s="20"/>
      <c r="F64" s="38">
        <v>0.06</v>
      </c>
      <c r="G64" s="17"/>
      <c r="H64" s="89" t="s">
        <v>43</v>
      </c>
      <c r="I64" s="20"/>
      <c r="J64" s="20"/>
      <c r="K64" s="76" t="s">
        <v>41</v>
      </c>
      <c r="L64" s="100">
        <v>20</v>
      </c>
      <c r="M64" s="50"/>
    </row>
    <row r="65" spans="1:13" ht="16" x14ac:dyDescent="0.2">
      <c r="A65" s="17"/>
      <c r="B65" s="17"/>
      <c r="C65" s="17"/>
      <c r="D65" s="17"/>
      <c r="E65" s="17"/>
      <c r="F65" s="17"/>
      <c r="G65" s="20"/>
      <c r="H65" s="20"/>
      <c r="I65" s="71"/>
      <c r="J65" s="71"/>
      <c r="K65" s="71"/>
      <c r="L65" s="71"/>
      <c r="M65" s="17"/>
    </row>
    <row r="66" spans="1:13" ht="16" x14ac:dyDescent="0.2">
      <c r="A66" s="17"/>
      <c r="B66" s="17"/>
      <c r="C66" s="20"/>
      <c r="D66" s="20"/>
      <c r="E66" s="20"/>
      <c r="F66" s="20"/>
      <c r="G66" s="20"/>
      <c r="H66" s="20"/>
      <c r="I66" s="71"/>
      <c r="J66" s="71"/>
      <c r="K66" s="71"/>
      <c r="L66" s="71"/>
      <c r="M66" s="17"/>
    </row>
    <row r="67" spans="1:13" ht="16" x14ac:dyDescent="0.2">
      <c r="A67" s="17"/>
      <c r="B67" s="68"/>
      <c r="C67" s="69"/>
      <c r="D67" s="69"/>
      <c r="E67" s="69"/>
      <c r="F67" s="69"/>
      <c r="G67" s="69"/>
      <c r="H67" s="69"/>
      <c r="I67" s="70"/>
      <c r="J67" s="70"/>
      <c r="K67" s="70"/>
      <c r="L67" s="70"/>
      <c r="M67" s="68" t="s">
        <v>0</v>
      </c>
    </row>
    <row r="68" spans="1:13" ht="1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4</xdr:col>
                    <xdr:colOff>0</xdr:colOff>
                    <xdr:row>6</xdr:row>
                    <xdr:rowOff>0</xdr:rowOff>
                  </from>
                  <to>
                    <xdr:col>5</xdr:col>
                    <xdr:colOff>12700</xdr:colOff>
                    <xdr:row>7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837F-D5EC-4244-B866-F780AB3ECF07}">
  <dimension ref="A3:N446"/>
  <sheetViews>
    <sheetView showGridLines="0" tabSelected="1" zoomScale="83" workbookViewId="0">
      <selection activeCell="F115" sqref="F115"/>
    </sheetView>
  </sheetViews>
  <sheetFormatPr baseColWidth="10" defaultRowHeight="14" outlineLevelRow="1" x14ac:dyDescent="0.2"/>
  <cols>
    <col min="2" max="2" width="40.3984375" bestFit="1" customWidth="1"/>
    <col min="3" max="3" width="10.796875" customWidth="1"/>
    <col min="4" max="4" width="11" customWidth="1"/>
    <col min="6" max="12" width="12" bestFit="1" customWidth="1"/>
    <col min="13" max="13" width="12.796875" customWidth="1"/>
  </cols>
  <sheetData>
    <row r="3" spans="1:13" ht="20" x14ac:dyDescent="0.2">
      <c r="A3" s="1" t="s">
        <v>0</v>
      </c>
      <c r="B3" s="3" t="s">
        <v>44</v>
      </c>
      <c r="C3" s="4"/>
      <c r="D3" s="5"/>
      <c r="E3" s="5"/>
      <c r="F3" s="6"/>
      <c r="G3" s="6"/>
      <c r="H3" s="6"/>
      <c r="I3" s="6"/>
      <c r="J3" s="6"/>
      <c r="K3" s="6"/>
      <c r="L3" s="6"/>
      <c r="M3" s="6"/>
    </row>
    <row r="4" spans="1:13" ht="20" outlineLevel="1" x14ac:dyDescent="0.2">
      <c r="A4" s="101"/>
      <c r="B4" s="8"/>
      <c r="C4" s="9"/>
      <c r="D4" s="10"/>
      <c r="E4" s="10"/>
      <c r="F4" s="11"/>
      <c r="G4" s="11"/>
      <c r="H4" s="11"/>
      <c r="I4" s="11"/>
      <c r="J4" s="11"/>
      <c r="K4" s="11"/>
      <c r="L4" s="11"/>
      <c r="M4" s="11"/>
    </row>
    <row r="5" spans="1:13" ht="21" outlineLevel="1" thickBot="1" x14ac:dyDescent="0.25">
      <c r="A5" s="101"/>
      <c r="B5" s="12" t="s">
        <v>2</v>
      </c>
      <c r="C5" s="9"/>
      <c r="D5" s="14"/>
      <c r="E5" s="14"/>
      <c r="F5" s="298">
        <f>G5-1</f>
        <v>2020</v>
      </c>
      <c r="G5" s="298">
        <f>H5-1</f>
        <v>2021</v>
      </c>
      <c r="H5" s="298">
        <f>I5-1</f>
        <v>2022</v>
      </c>
      <c r="I5" s="297">
        <f>Inputs!F52</f>
        <v>2023</v>
      </c>
      <c r="J5" s="297">
        <f>I5+1</f>
        <v>2024</v>
      </c>
      <c r="K5" s="297">
        <f t="shared" ref="K5:M5" si="0">J5+1</f>
        <v>2025</v>
      </c>
      <c r="L5" s="297">
        <f t="shared" si="0"/>
        <v>2026</v>
      </c>
      <c r="M5" s="297">
        <f t="shared" si="0"/>
        <v>2027</v>
      </c>
    </row>
    <row r="6" spans="1:13" ht="15" outlineLevel="1" x14ac:dyDescent="0.2">
      <c r="A6" s="1"/>
      <c r="B6" s="12" t="str" cm="1">
        <f t="array" ref="B6">CONCATENATE("Model Running : ",INDEX(Inputs!$C$12:$C$14,Inputs!$E$7 ), " Drivers")</f>
        <v>Model Running : Base Case Drivers</v>
      </c>
      <c r="C6" s="9"/>
      <c r="D6" s="14"/>
      <c r="E6" s="14"/>
      <c r="F6" s="14"/>
      <c r="G6" s="14"/>
      <c r="H6" s="14"/>
      <c r="I6" s="103"/>
      <c r="J6" s="103"/>
      <c r="K6" s="103"/>
      <c r="L6" s="103"/>
      <c r="M6" s="103"/>
    </row>
    <row r="7" spans="1:13" ht="20" outlineLevel="1" x14ac:dyDescent="0.2">
      <c r="A7" s="101"/>
      <c r="B7" s="12"/>
      <c r="C7" s="9"/>
      <c r="D7" s="14"/>
      <c r="E7" s="14"/>
      <c r="F7" s="14"/>
      <c r="G7" s="14"/>
      <c r="H7" s="14"/>
      <c r="I7" s="101"/>
      <c r="J7" s="101"/>
      <c r="K7" s="101"/>
      <c r="L7" s="101"/>
      <c r="M7" s="101"/>
    </row>
    <row r="8" spans="1:13" ht="15" outlineLevel="1" x14ac:dyDescent="0.2">
      <c r="A8" s="1"/>
      <c r="B8" s="104" t="s">
        <v>45</v>
      </c>
      <c r="C8" s="9"/>
      <c r="D8" s="14"/>
      <c r="E8" s="14"/>
      <c r="F8" s="105">
        <v>2.4E-2</v>
      </c>
      <c r="G8" s="106">
        <v>2.1999999999999999E-2</v>
      </c>
      <c r="H8" s="106">
        <v>2.3E-2</v>
      </c>
      <c r="I8" s="107">
        <f>Inputs!H45</f>
        <v>3.5000000000000003E-2</v>
      </c>
      <c r="J8" s="107">
        <f>Inputs!I45</f>
        <v>0.03</v>
      </c>
      <c r="K8" s="107">
        <f>Inputs!J45</f>
        <v>0.03</v>
      </c>
      <c r="L8" s="107">
        <f>Inputs!K45</f>
        <v>2.5000000000000001E-2</v>
      </c>
      <c r="M8" s="108">
        <f>Inputs!L45</f>
        <v>2.5000000000000001E-2</v>
      </c>
    </row>
    <row r="9" spans="1:13" ht="15" outlineLevel="1" x14ac:dyDescent="0.2">
      <c r="A9" s="1"/>
      <c r="B9" s="104"/>
      <c r="C9" s="9"/>
      <c r="D9" s="14"/>
      <c r="E9" s="14"/>
      <c r="F9" s="109"/>
      <c r="G9" s="109"/>
      <c r="H9" s="109"/>
      <c r="I9" s="109"/>
      <c r="J9" s="109"/>
      <c r="K9" s="109"/>
      <c r="L9" s="109"/>
      <c r="M9" s="109"/>
    </row>
    <row r="10" spans="1:13" ht="15" outlineLevel="1" x14ac:dyDescent="0.2">
      <c r="A10" s="1"/>
      <c r="B10" s="104"/>
      <c r="C10" s="9"/>
      <c r="D10" s="14"/>
      <c r="E10" s="14"/>
      <c r="F10" s="109"/>
      <c r="G10" s="109"/>
      <c r="H10" s="109"/>
      <c r="I10" s="109"/>
      <c r="J10" s="109"/>
      <c r="K10" s="109"/>
      <c r="L10" s="109"/>
      <c r="M10" s="109"/>
    </row>
    <row r="11" spans="1:13" ht="15" outlineLevel="1" x14ac:dyDescent="0.2">
      <c r="A11" s="1"/>
      <c r="B11" s="87" t="s">
        <v>46</v>
      </c>
      <c r="C11" s="19"/>
      <c r="D11" s="14"/>
      <c r="E11" s="19"/>
      <c r="F11" s="110">
        <v>50589</v>
      </c>
      <c r="G11" s="110">
        <v>51647.864999999998</v>
      </c>
      <c r="H11" s="110">
        <v>53760.85</v>
      </c>
      <c r="I11" s="111">
        <f>I151</f>
        <v>56481.149010000008</v>
      </c>
      <c r="J11" s="111">
        <f t="shared" ref="J11:M11" si="1">J151</f>
        <v>57616.420105101002</v>
      </c>
      <c r="K11" s="111">
        <f t="shared" si="1"/>
        <v>58774.510149213551</v>
      </c>
      <c r="L11" s="111">
        <f t="shared" si="1"/>
        <v>59659.066526959199</v>
      </c>
      <c r="M11" s="111">
        <f t="shared" si="1"/>
        <v>60257.148668891954</v>
      </c>
    </row>
    <row r="12" spans="1:13" ht="15" outlineLevel="1" x14ac:dyDescent="0.2">
      <c r="A12" s="1"/>
      <c r="B12" s="87" t="s">
        <v>47</v>
      </c>
      <c r="C12" s="19"/>
      <c r="D12" s="19"/>
      <c r="E12" s="19"/>
      <c r="F12" s="112">
        <v>-24544.3</v>
      </c>
      <c r="G12" s="112">
        <v>-25104.0144</v>
      </c>
      <c r="H12" s="112">
        <v>-25779.4015</v>
      </c>
      <c r="I12" s="113">
        <f>-I197</f>
        <v>-26798.04356355</v>
      </c>
      <c r="J12" s="113">
        <f t="shared" ref="J12:M12" si="2">-J197</f>
        <v>-27663.110360161067</v>
      </c>
      <c r="K12" s="113">
        <f t="shared" si="2"/>
        <v>-28556.592517905559</v>
      </c>
      <c r="L12" s="113">
        <f t="shared" si="2"/>
        <v>-29303.422507750336</v>
      </c>
      <c r="M12" s="113">
        <f t="shared" si="2"/>
        <v>-30069.914817045261</v>
      </c>
    </row>
    <row r="13" spans="1:13" ht="15" outlineLevel="1" x14ac:dyDescent="0.2">
      <c r="A13" s="1"/>
      <c r="B13" s="23" t="s">
        <v>48</v>
      </c>
      <c r="C13" s="13"/>
      <c r="D13" s="19"/>
      <c r="E13" s="19"/>
      <c r="F13" s="114">
        <v>26044.7</v>
      </c>
      <c r="G13" s="114">
        <v>26543.850600000002</v>
      </c>
      <c r="H13" s="114">
        <v>27981.448499999999</v>
      </c>
      <c r="I13" s="115">
        <f>SUM(I11:I12)</f>
        <v>29683.105446450008</v>
      </c>
      <c r="J13" s="115">
        <f t="shared" ref="J13:M13" si="3">SUM(J11:J12)</f>
        <v>29953.309744939936</v>
      </c>
      <c r="K13" s="115">
        <f t="shared" si="3"/>
        <v>30217.917631307992</v>
      </c>
      <c r="L13" s="115">
        <f t="shared" si="3"/>
        <v>30355.644019208863</v>
      </c>
      <c r="M13" s="115">
        <f t="shared" si="3"/>
        <v>30187.233851846693</v>
      </c>
    </row>
    <row r="14" spans="1:13" ht="15" outlineLevel="1" x14ac:dyDescent="0.2">
      <c r="A14" s="1"/>
      <c r="B14" s="23"/>
      <c r="C14" s="13"/>
      <c r="D14" s="19"/>
      <c r="E14" s="19"/>
      <c r="F14" s="114"/>
      <c r="G14" s="114"/>
      <c r="H14" s="114"/>
      <c r="I14" s="116"/>
      <c r="J14" s="116"/>
      <c r="K14" s="116"/>
      <c r="L14" s="116"/>
      <c r="M14" s="116"/>
    </row>
    <row r="15" spans="1:13" ht="15" outlineLevel="1" x14ac:dyDescent="0.2">
      <c r="A15" s="1"/>
      <c r="B15" s="87"/>
      <c r="C15" s="19"/>
      <c r="D15" s="19"/>
      <c r="E15" s="19"/>
      <c r="F15" s="114"/>
      <c r="G15" s="114"/>
      <c r="H15" s="114"/>
      <c r="I15" s="116"/>
      <c r="J15" s="116"/>
      <c r="K15" s="116"/>
      <c r="L15" s="116"/>
      <c r="M15" s="116"/>
    </row>
    <row r="16" spans="1:13" ht="15" outlineLevel="1" x14ac:dyDescent="0.2">
      <c r="A16" s="1"/>
      <c r="B16" s="87" t="s">
        <v>49</v>
      </c>
      <c r="C16" s="19"/>
      <c r="D16" s="19"/>
      <c r="E16" s="19"/>
      <c r="F16" s="110">
        <v>-5877</v>
      </c>
      <c r="G16" s="110">
        <v>-6006</v>
      </c>
      <c r="H16" s="110">
        <v>-6144</v>
      </c>
      <c r="I16" s="111">
        <f>H16*(1+I8)</f>
        <v>-6359.0399999999991</v>
      </c>
      <c r="J16" s="111">
        <f t="shared" ref="J16:M16" si="4">I16*(1+J8)</f>
        <v>-6549.8111999999992</v>
      </c>
      <c r="K16" s="111">
        <f t="shared" si="4"/>
        <v>-6746.3055359999989</v>
      </c>
      <c r="L16" s="111">
        <f t="shared" si="4"/>
        <v>-6914.963174399998</v>
      </c>
      <c r="M16" s="111">
        <f t="shared" si="4"/>
        <v>-7087.8372537599971</v>
      </c>
    </row>
    <row r="17" spans="1:13" ht="15" outlineLevel="1" x14ac:dyDescent="0.2">
      <c r="A17" s="1"/>
      <c r="B17" s="87" t="s">
        <v>50</v>
      </c>
      <c r="C17" s="19"/>
      <c r="D17" s="19"/>
      <c r="E17" s="19"/>
      <c r="F17" s="112">
        <v>-1764</v>
      </c>
      <c r="G17" s="112">
        <v>-1931</v>
      </c>
      <c r="H17" s="112">
        <v>-2026</v>
      </c>
      <c r="I17" s="113">
        <f>H17*(1+I8)</f>
        <v>-2096.91</v>
      </c>
      <c r="J17" s="113">
        <f t="shared" ref="J17:M17" si="5">I17*(1+J8)</f>
        <v>-2159.8172999999997</v>
      </c>
      <c r="K17" s="113">
        <f t="shared" si="5"/>
        <v>-2224.6118189999997</v>
      </c>
      <c r="L17" s="113">
        <f t="shared" si="5"/>
        <v>-2280.2271144749993</v>
      </c>
      <c r="M17" s="113">
        <f t="shared" si="5"/>
        <v>-2337.2327923368739</v>
      </c>
    </row>
    <row r="18" spans="1:13" ht="15" outlineLevel="1" x14ac:dyDescent="0.2">
      <c r="A18" s="1"/>
      <c r="B18" s="23" t="s">
        <v>51</v>
      </c>
      <c r="C18" s="13"/>
      <c r="D18" s="19"/>
      <c r="E18" s="19"/>
      <c r="F18" s="114">
        <v>18403.7</v>
      </c>
      <c r="G18" s="114">
        <v>18606.850600000002</v>
      </c>
      <c r="H18" s="114">
        <v>19811.448499999999</v>
      </c>
      <c r="I18" s="115">
        <f>I13+SUM(I16:I17)</f>
        <v>21227.155446450008</v>
      </c>
      <c r="J18" s="115">
        <f t="shared" ref="J18:M18" si="6">J13+SUM(J16:J17)</f>
        <v>21243.681244939937</v>
      </c>
      <c r="K18" s="115">
        <f t="shared" si="6"/>
        <v>21247.000276307994</v>
      </c>
      <c r="L18" s="115">
        <f t="shared" si="6"/>
        <v>21160.453730333866</v>
      </c>
      <c r="M18" s="115">
        <f t="shared" si="6"/>
        <v>20762.16380574982</v>
      </c>
    </row>
    <row r="19" spans="1:13" ht="15" outlineLevel="1" x14ac:dyDescent="0.2">
      <c r="A19" s="1"/>
      <c r="B19" s="23"/>
      <c r="C19" s="13"/>
      <c r="D19" s="19"/>
      <c r="E19" s="19"/>
      <c r="F19" s="114"/>
      <c r="G19" s="114"/>
      <c r="H19" s="114"/>
      <c r="I19" s="116"/>
      <c r="J19" s="116"/>
      <c r="K19" s="116"/>
      <c r="L19" s="116"/>
      <c r="M19" s="116"/>
    </row>
    <row r="20" spans="1:13" ht="15" outlineLevel="1" x14ac:dyDescent="0.2">
      <c r="A20" s="1"/>
      <c r="B20" s="87"/>
      <c r="C20" s="19"/>
      <c r="D20" s="19"/>
      <c r="E20" s="19"/>
      <c r="F20" s="114"/>
      <c r="G20" s="114"/>
      <c r="H20" s="114"/>
      <c r="I20" s="116"/>
      <c r="J20" s="116"/>
      <c r="K20" s="116"/>
      <c r="L20" s="116"/>
      <c r="M20" s="116"/>
    </row>
    <row r="21" spans="1:13" ht="15" outlineLevel="1" x14ac:dyDescent="0.2">
      <c r="A21" s="1"/>
      <c r="B21" s="87" t="s">
        <v>36</v>
      </c>
      <c r="C21" s="19"/>
      <c r="D21" s="19"/>
      <c r="E21" s="19"/>
      <c r="F21" s="112">
        <v>-2960</v>
      </c>
      <c r="G21" s="112">
        <v>-3196</v>
      </c>
      <c r="H21" s="112">
        <v>-3452</v>
      </c>
      <c r="I21" s="113">
        <f>I271*-1</f>
        <v>-5349.8125</v>
      </c>
      <c r="J21" s="113">
        <f t="shared" ref="J21:M21" si="7">J271*-1</f>
        <v>-6162.9375</v>
      </c>
      <c r="K21" s="113">
        <f t="shared" si="7"/>
        <v>-6521.0625</v>
      </c>
      <c r="L21" s="113">
        <f t="shared" si="7"/>
        <v>-6882.9375</v>
      </c>
      <c r="M21" s="113">
        <f t="shared" si="7"/>
        <v>-7255.125</v>
      </c>
    </row>
    <row r="22" spans="1:13" ht="15" outlineLevel="1" x14ac:dyDescent="0.2">
      <c r="A22" s="1"/>
      <c r="B22" s="23" t="s">
        <v>52</v>
      </c>
      <c r="C22" s="13"/>
      <c r="D22" s="19"/>
      <c r="E22" s="19"/>
      <c r="F22" s="114">
        <v>15443.7</v>
      </c>
      <c r="G22" s="114">
        <v>15410.8506</v>
      </c>
      <c r="H22" s="114">
        <v>16359.4485</v>
      </c>
      <c r="I22" s="115">
        <f>I18+I21</f>
        <v>15877.342946450008</v>
      </c>
      <c r="J22" s="115">
        <f t="shared" ref="J22:M22" si="8">J18+J21</f>
        <v>15080.743744939937</v>
      </c>
      <c r="K22" s="115">
        <f t="shared" si="8"/>
        <v>14725.937776307994</v>
      </c>
      <c r="L22" s="115">
        <f t="shared" si="8"/>
        <v>14277.516230333866</v>
      </c>
      <c r="M22" s="115">
        <f t="shared" si="8"/>
        <v>13507.03880574982</v>
      </c>
    </row>
    <row r="23" spans="1:13" ht="15" outlineLevel="1" x14ac:dyDescent="0.2">
      <c r="A23" s="1"/>
      <c r="B23" s="23"/>
      <c r="C23" s="13"/>
      <c r="D23" s="19"/>
      <c r="E23" s="19"/>
      <c r="F23" s="114"/>
      <c r="G23" s="114"/>
      <c r="H23" s="114"/>
      <c r="I23" s="116"/>
      <c r="J23" s="116"/>
      <c r="K23" s="116"/>
      <c r="L23" s="116"/>
      <c r="M23" s="116"/>
    </row>
    <row r="24" spans="1:13" ht="15" outlineLevel="1" x14ac:dyDescent="0.2">
      <c r="A24" s="1"/>
      <c r="B24" s="23"/>
      <c r="C24" s="13"/>
      <c r="D24" s="19"/>
      <c r="E24" s="19"/>
      <c r="F24" s="114"/>
      <c r="G24" s="114"/>
      <c r="H24" s="114"/>
      <c r="I24" s="116"/>
      <c r="J24" s="116"/>
      <c r="K24" s="116"/>
      <c r="L24" s="116"/>
      <c r="M24" s="116"/>
    </row>
    <row r="25" spans="1:13" ht="15" outlineLevel="1" x14ac:dyDescent="0.2">
      <c r="A25" s="1"/>
      <c r="B25" s="87" t="s">
        <v>53</v>
      </c>
      <c r="C25" s="19"/>
      <c r="D25" s="19"/>
      <c r="E25" s="19"/>
      <c r="F25" s="110">
        <v>-1688</v>
      </c>
      <c r="G25" s="110">
        <v>-2200</v>
      </c>
      <c r="H25" s="110">
        <v>-2350</v>
      </c>
      <c r="I25" s="111">
        <f ca="1">-I411</f>
        <v>-1269.4149458912839</v>
      </c>
      <c r="J25" s="111">
        <f t="shared" ref="J25:M25" ca="1" si="9">-J411</f>
        <v>-1151.8634517849305</v>
      </c>
      <c r="K25" s="111">
        <f t="shared" ca="1" si="9"/>
        <v>-779.21761194946907</v>
      </c>
      <c r="L25" s="111">
        <f t="shared" ca="1" si="9"/>
        <v>-416.76910605582236</v>
      </c>
      <c r="M25" s="111">
        <f t="shared" ca="1" si="9"/>
        <v>-120</v>
      </c>
    </row>
    <row r="26" spans="1:13" ht="15" outlineLevel="1" x14ac:dyDescent="0.2">
      <c r="A26" s="1"/>
      <c r="B26" s="87" t="s">
        <v>54</v>
      </c>
      <c r="C26" s="19"/>
      <c r="D26" s="19"/>
      <c r="E26" s="19"/>
      <c r="F26" s="112">
        <v>200</v>
      </c>
      <c r="G26" s="112">
        <v>180</v>
      </c>
      <c r="H26" s="112">
        <v>193</v>
      </c>
      <c r="I26" s="113">
        <f ca="1">I412*-1</f>
        <v>42.049995500000009</v>
      </c>
      <c r="J26" s="113">
        <f t="shared" ref="J26:M26" ca="1" si="10">J412*-1</f>
        <v>0</v>
      </c>
      <c r="K26" s="113">
        <f t="shared" ca="1" si="10"/>
        <v>0</v>
      </c>
      <c r="L26" s="113">
        <f t="shared" ca="1" si="10"/>
        <v>2.9665140928257823</v>
      </c>
      <c r="M26" s="113">
        <f t="shared" ca="1" si="10"/>
        <v>17.683394152059766</v>
      </c>
    </row>
    <row r="27" spans="1:13" ht="15" outlineLevel="1" x14ac:dyDescent="0.2">
      <c r="A27" s="1"/>
      <c r="B27" s="23" t="s">
        <v>55</v>
      </c>
      <c r="C27" s="13"/>
      <c r="D27" s="19"/>
      <c r="E27" s="19"/>
      <c r="F27" s="114">
        <v>13955.7</v>
      </c>
      <c r="G27" s="114">
        <v>13390.8506</v>
      </c>
      <c r="H27" s="114">
        <v>14202.4485</v>
      </c>
      <c r="I27" s="115">
        <f ca="1">I22+I25-I26</f>
        <v>14565.878005058725</v>
      </c>
      <c r="J27" s="115">
        <f t="shared" ref="J27:M27" ca="1" si="11">J22+J25-J26</f>
        <v>13928.880293155005</v>
      </c>
      <c r="K27" s="115">
        <f t="shared" ca="1" si="11"/>
        <v>13946.720164358525</v>
      </c>
      <c r="L27" s="115">
        <f t="shared" ca="1" si="11"/>
        <v>13857.780610185217</v>
      </c>
      <c r="M27" s="115">
        <f t="shared" ca="1" si="11"/>
        <v>13369.35541159776</v>
      </c>
    </row>
    <row r="28" spans="1:13" ht="15" outlineLevel="1" x14ac:dyDescent="0.2">
      <c r="A28" s="1"/>
      <c r="B28" s="23"/>
      <c r="C28" s="13"/>
      <c r="D28" s="19"/>
      <c r="E28" s="19"/>
      <c r="F28" s="114"/>
      <c r="G28" s="114"/>
      <c r="H28" s="114"/>
      <c r="I28" s="116"/>
      <c r="J28" s="116"/>
      <c r="K28" s="116"/>
      <c r="L28" s="116"/>
      <c r="M28" s="116"/>
    </row>
    <row r="29" spans="1:13" ht="15" outlineLevel="1" x14ac:dyDescent="0.2">
      <c r="A29" s="1"/>
      <c r="B29" s="23"/>
      <c r="C29" s="13"/>
      <c r="D29" s="19"/>
      <c r="E29" s="19"/>
      <c r="F29" s="114"/>
      <c r="G29" s="114"/>
      <c r="H29" s="114"/>
      <c r="I29" s="116"/>
      <c r="J29" s="116"/>
      <c r="K29" s="116"/>
      <c r="L29" s="116"/>
      <c r="M29" s="116"/>
    </row>
    <row r="30" spans="1:13" ht="15" outlineLevel="1" x14ac:dyDescent="0.2">
      <c r="A30" s="1"/>
      <c r="B30" s="87" t="s">
        <v>56</v>
      </c>
      <c r="C30" s="19"/>
      <c r="D30" s="19"/>
      <c r="E30" s="19"/>
      <c r="F30" s="110">
        <v>0</v>
      </c>
      <c r="G30" s="110">
        <v>0</v>
      </c>
      <c r="H30" s="110">
        <v>0</v>
      </c>
      <c r="I30" s="111">
        <f ca="1">-I340</f>
        <v>-2839.9246515176169</v>
      </c>
      <c r="J30" s="111">
        <f t="shared" ref="J30:M30" ca="1" si="12">-J340</f>
        <v>-3308.7027129465014</v>
      </c>
      <c r="K30" s="111">
        <f t="shared" ca="1" si="12"/>
        <v>-3507.0060680575575</v>
      </c>
      <c r="L30" s="111">
        <f t="shared" ca="1" si="12"/>
        <v>-3658.1985114930662</v>
      </c>
      <c r="M30" s="111">
        <f t="shared" ca="1" si="12"/>
        <v>-3672.9609901512035</v>
      </c>
    </row>
    <row r="31" spans="1:13" ht="15" outlineLevel="1" x14ac:dyDescent="0.2">
      <c r="A31" s="1"/>
      <c r="B31" s="87" t="s">
        <v>57</v>
      </c>
      <c r="C31" s="19"/>
      <c r="D31" s="19"/>
      <c r="E31" s="19"/>
      <c r="F31" s="112">
        <v>-3155</v>
      </c>
      <c r="G31" s="112">
        <v>-2861</v>
      </c>
      <c r="H31" s="112">
        <v>-3012</v>
      </c>
      <c r="I31" s="111">
        <f ca="1">-I341</f>
        <v>-1529.8387500000003</v>
      </c>
      <c r="J31" s="111">
        <f t="shared" ref="J31:M31" ca="1" si="13">-J341</f>
        <v>-869.96137499999986</v>
      </c>
      <c r="K31" s="111">
        <f t="shared" ca="1" si="13"/>
        <v>-677.00998124999978</v>
      </c>
      <c r="L31" s="111">
        <f t="shared" ca="1" si="13"/>
        <v>-499.13567156249837</v>
      </c>
      <c r="M31" s="111">
        <f t="shared" ca="1" si="13"/>
        <v>-337.84563332812422</v>
      </c>
    </row>
    <row r="32" spans="1:13" ht="15" outlineLevel="1" x14ac:dyDescent="0.2">
      <c r="A32" s="1"/>
      <c r="B32" s="87" t="s">
        <v>58</v>
      </c>
      <c r="C32" s="19"/>
      <c r="D32" s="19"/>
      <c r="E32" s="19"/>
      <c r="F32" s="110">
        <v>-3155</v>
      </c>
      <c r="G32" s="110">
        <v>-2861</v>
      </c>
      <c r="H32" s="110">
        <v>-3012</v>
      </c>
      <c r="I32" s="111">
        <f ca="1">SUM(I30:I31)</f>
        <v>-4369.7634015176172</v>
      </c>
      <c r="J32" s="111">
        <f t="shared" ref="J32:M32" ca="1" si="14">SUM(J30:J31)</f>
        <v>-4178.6640879465012</v>
      </c>
      <c r="K32" s="111">
        <f t="shared" ca="1" si="14"/>
        <v>-4184.0160493075573</v>
      </c>
      <c r="L32" s="111">
        <f t="shared" ca="1" si="14"/>
        <v>-4157.3341830555646</v>
      </c>
      <c r="M32" s="111">
        <f t="shared" ca="1" si="14"/>
        <v>-4010.8066234793278</v>
      </c>
    </row>
    <row r="33" spans="1:13" ht="15" outlineLevel="1" x14ac:dyDescent="0.2">
      <c r="A33" s="1"/>
      <c r="B33" s="87"/>
      <c r="C33" s="19"/>
      <c r="D33" s="19"/>
      <c r="E33" s="19"/>
      <c r="F33" s="110"/>
      <c r="G33" s="110"/>
      <c r="H33" s="110"/>
      <c r="I33" s="117"/>
      <c r="J33" s="117"/>
      <c r="K33" s="117"/>
      <c r="L33" s="117"/>
      <c r="M33" s="117"/>
    </row>
    <row r="34" spans="1:13" ht="15" outlineLevel="1" x14ac:dyDescent="0.2">
      <c r="A34" s="1"/>
      <c r="B34" s="87"/>
      <c r="C34" s="19"/>
      <c r="D34" s="19"/>
      <c r="E34" s="19"/>
      <c r="F34" s="110"/>
      <c r="G34" s="110"/>
      <c r="H34" s="110"/>
      <c r="I34" s="117"/>
      <c r="J34" s="117"/>
      <c r="K34" s="117"/>
      <c r="L34" s="117"/>
      <c r="M34" s="117"/>
    </row>
    <row r="35" spans="1:13" ht="16" outlineLevel="1" thickBot="1" x14ac:dyDescent="0.25">
      <c r="A35" s="1"/>
      <c r="B35" s="23" t="s">
        <v>59</v>
      </c>
      <c r="C35" s="13"/>
      <c r="D35" s="19"/>
      <c r="E35" s="19"/>
      <c r="F35" s="118">
        <v>10800.7</v>
      </c>
      <c r="G35" s="118">
        <v>10529.8506</v>
      </c>
      <c r="H35" s="118">
        <v>11190.4485</v>
      </c>
      <c r="I35" s="119">
        <f ca="1">I27+I32</f>
        <v>10196.114603541107</v>
      </c>
      <c r="J35" s="119">
        <f t="shared" ref="J35:M35" ca="1" si="15">J27+J32</f>
        <v>9750.2162052085041</v>
      </c>
      <c r="K35" s="119">
        <f t="shared" ca="1" si="15"/>
        <v>9762.7041150509685</v>
      </c>
      <c r="L35" s="119">
        <f t="shared" ca="1" si="15"/>
        <v>9700.4464271296529</v>
      </c>
      <c r="M35" s="119">
        <f t="shared" ca="1" si="15"/>
        <v>9358.5487881184326</v>
      </c>
    </row>
    <row r="36" spans="1:13" ht="15" outlineLevel="1" x14ac:dyDescent="0.2">
      <c r="A36" s="1"/>
      <c r="B36" s="13"/>
      <c r="C36" s="13"/>
      <c r="D36" s="19"/>
      <c r="E36" s="19"/>
      <c r="F36" s="120"/>
      <c r="G36" s="120"/>
      <c r="H36" s="120"/>
      <c r="I36" s="120"/>
      <c r="J36" s="120"/>
      <c r="K36" s="120"/>
      <c r="L36" s="120"/>
      <c r="M36" s="120"/>
    </row>
    <row r="37" spans="1:13" ht="15" outlineLevel="1" x14ac:dyDescent="0.2">
      <c r="A37" s="1"/>
      <c r="B37" s="121"/>
      <c r="C37" s="121"/>
      <c r="D37" s="122"/>
      <c r="E37" s="122"/>
      <c r="F37" s="123"/>
      <c r="G37" s="123"/>
      <c r="H37" s="123"/>
      <c r="I37" s="123"/>
      <c r="J37" s="123"/>
      <c r="K37" s="123"/>
      <c r="L37" s="123"/>
      <c r="M37" s="123"/>
    </row>
    <row r="38" spans="1:13" ht="15" outlineLevel="1" x14ac:dyDescent="0.2">
      <c r="A38" s="1"/>
      <c r="B38" s="104"/>
      <c r="C38" s="19"/>
      <c r="D38" s="124"/>
      <c r="E38" s="19"/>
      <c r="F38" s="125"/>
      <c r="G38" s="125"/>
      <c r="H38" s="125"/>
      <c r="I38" s="125"/>
      <c r="J38" s="125"/>
      <c r="K38" s="125"/>
      <c r="L38" s="125"/>
      <c r="M38" s="125"/>
    </row>
    <row r="39" spans="1:13" ht="20" x14ac:dyDescent="0.2">
      <c r="A39" s="1" t="s">
        <v>0</v>
      </c>
      <c r="B39" s="3" t="s">
        <v>60</v>
      </c>
      <c r="C39" s="4"/>
      <c r="D39" s="5"/>
      <c r="E39" s="5"/>
      <c r="F39" s="6"/>
      <c r="G39" s="6"/>
      <c r="H39" s="6"/>
      <c r="I39" s="6"/>
      <c r="J39" s="6"/>
      <c r="K39" s="6"/>
      <c r="L39" s="6"/>
      <c r="M39" s="6"/>
    </row>
    <row r="40" spans="1:13" ht="20" outlineLevel="1" x14ac:dyDescent="0.2">
      <c r="A40" s="101"/>
      <c r="B40" s="8"/>
      <c r="C40" s="9"/>
      <c r="D40" s="10"/>
      <c r="E40" s="10"/>
      <c r="F40" s="11"/>
      <c r="G40" s="11"/>
      <c r="H40" s="11"/>
      <c r="I40" s="11"/>
      <c r="J40" s="11"/>
      <c r="K40" s="11"/>
      <c r="L40" s="11"/>
      <c r="M40" s="11"/>
    </row>
    <row r="41" spans="1:13" ht="21" outlineLevel="1" thickBot="1" x14ac:dyDescent="0.25">
      <c r="A41" s="101"/>
      <c r="B41" s="12" t="s">
        <v>2</v>
      </c>
      <c r="C41" s="9"/>
      <c r="D41" s="14"/>
      <c r="E41" s="14"/>
      <c r="F41" s="102">
        <f>F5</f>
        <v>2020</v>
      </c>
      <c r="G41" s="102">
        <f t="shared" ref="G41:H41" si="16">G5</f>
        <v>2021</v>
      </c>
      <c r="H41" s="102">
        <f t="shared" si="16"/>
        <v>2022</v>
      </c>
      <c r="I41" s="16">
        <f>I5</f>
        <v>2023</v>
      </c>
      <c r="J41" s="16">
        <f t="shared" ref="J41:M41" si="17">J5</f>
        <v>2024</v>
      </c>
      <c r="K41" s="16">
        <f t="shared" si="17"/>
        <v>2025</v>
      </c>
      <c r="L41" s="16">
        <f t="shared" si="17"/>
        <v>2026</v>
      </c>
      <c r="M41" s="16">
        <f t="shared" si="17"/>
        <v>2027</v>
      </c>
    </row>
    <row r="42" spans="1:13" ht="15" outlineLevel="1" x14ac:dyDescent="0.2">
      <c r="A42" s="1"/>
      <c r="B42" s="12" t="str">
        <f>B6</f>
        <v>Model Running : Base Case Drivers</v>
      </c>
      <c r="C42" s="9"/>
      <c r="D42" s="14"/>
      <c r="E42" s="14"/>
      <c r="F42" s="14"/>
      <c r="G42" s="14"/>
      <c r="H42" s="14"/>
      <c r="I42" s="103"/>
      <c r="J42" s="103"/>
      <c r="K42" s="103"/>
      <c r="L42" s="103"/>
      <c r="M42" s="103"/>
    </row>
    <row r="43" spans="1:13" ht="20" outlineLevel="1" x14ac:dyDescent="0.2">
      <c r="A43" s="101"/>
      <c r="B43" s="12"/>
      <c r="C43" s="9"/>
      <c r="D43" s="14"/>
      <c r="E43" s="14"/>
      <c r="F43" s="14"/>
      <c r="G43" s="14"/>
      <c r="H43" s="14"/>
      <c r="I43" s="101"/>
      <c r="J43" s="101"/>
      <c r="K43" s="101"/>
      <c r="L43" s="101"/>
      <c r="M43" s="101"/>
    </row>
    <row r="44" spans="1:13" ht="20" outlineLevel="1" x14ac:dyDescent="0.2">
      <c r="A44" s="101"/>
      <c r="B44" s="12"/>
      <c r="C44" s="9"/>
      <c r="D44" s="14"/>
      <c r="E44" s="14"/>
      <c r="F44" s="14"/>
      <c r="G44" s="14"/>
      <c r="H44" s="14"/>
      <c r="I44" s="101"/>
      <c r="J44" s="101"/>
      <c r="K44" s="101"/>
      <c r="L44" s="101"/>
      <c r="M44" s="101"/>
    </row>
    <row r="45" spans="1:13" ht="15" outlineLevel="1" x14ac:dyDescent="0.2">
      <c r="A45" s="1"/>
      <c r="B45" s="13" t="s">
        <v>61</v>
      </c>
      <c r="C45" s="13"/>
      <c r="D45" s="1"/>
      <c r="E45" s="1"/>
      <c r="F45" s="126"/>
      <c r="G45" s="126"/>
      <c r="H45" s="126"/>
      <c r="I45" s="127"/>
      <c r="J45" s="127"/>
      <c r="K45" s="127"/>
      <c r="L45" s="1"/>
      <c r="M45" s="128"/>
    </row>
    <row r="46" spans="1:13" ht="15" outlineLevel="1" x14ac:dyDescent="0.2">
      <c r="A46" s="1"/>
      <c r="B46" s="87" t="s">
        <v>59</v>
      </c>
      <c r="C46" s="87"/>
      <c r="D46" s="1"/>
      <c r="E46" s="1"/>
      <c r="F46" s="129">
        <v>10800.7</v>
      </c>
      <c r="G46" s="129">
        <v>10529.8506</v>
      </c>
      <c r="H46" s="129">
        <v>11190.4485</v>
      </c>
      <c r="I46" s="130">
        <f ca="1">I35</f>
        <v>10196.114603541107</v>
      </c>
      <c r="J46" s="130">
        <f t="shared" ref="J46:M46" ca="1" si="18">J35</f>
        <v>9750.2162052085041</v>
      </c>
      <c r="K46" s="130">
        <f t="shared" ca="1" si="18"/>
        <v>9762.7041150509685</v>
      </c>
      <c r="L46" s="130">
        <f t="shared" ca="1" si="18"/>
        <v>9700.4464271296529</v>
      </c>
      <c r="M46" s="130">
        <f t="shared" ca="1" si="18"/>
        <v>9358.5487881184326</v>
      </c>
    </row>
    <row r="47" spans="1:13" ht="15" outlineLevel="1" x14ac:dyDescent="0.2">
      <c r="A47" s="1"/>
      <c r="B47" s="87" t="s">
        <v>62</v>
      </c>
      <c r="C47" s="87"/>
      <c r="D47" s="1"/>
      <c r="E47" s="1"/>
      <c r="F47" s="129">
        <v>3155</v>
      </c>
      <c r="G47" s="129">
        <v>2861</v>
      </c>
      <c r="H47" s="129">
        <v>3012</v>
      </c>
      <c r="I47" s="130">
        <f ca="1">I31*-1</f>
        <v>1529.8387500000003</v>
      </c>
      <c r="J47" s="130">
        <f t="shared" ref="J47:M47" ca="1" si="19">J31*-1</f>
        <v>869.96137499999986</v>
      </c>
      <c r="K47" s="130">
        <f t="shared" ca="1" si="19"/>
        <v>677.00998124999978</v>
      </c>
      <c r="L47" s="130">
        <f t="shared" ca="1" si="19"/>
        <v>499.13567156249837</v>
      </c>
      <c r="M47" s="130">
        <f t="shared" ca="1" si="19"/>
        <v>337.84563332812422</v>
      </c>
    </row>
    <row r="48" spans="1:13" ht="15" outlineLevel="1" x14ac:dyDescent="0.2">
      <c r="A48" s="1"/>
      <c r="B48" s="87" t="s">
        <v>36</v>
      </c>
      <c r="C48" s="87"/>
      <c r="D48" s="1"/>
      <c r="E48" s="1"/>
      <c r="F48" s="129">
        <v>2960</v>
      </c>
      <c r="G48" s="129">
        <v>3196</v>
      </c>
      <c r="H48" s="129">
        <v>3452</v>
      </c>
      <c r="I48" s="130">
        <f>I21*-1</f>
        <v>5349.8125</v>
      </c>
      <c r="J48" s="130">
        <f t="shared" ref="J48:M48" si="20">J21*-1</f>
        <v>6162.9375</v>
      </c>
      <c r="K48" s="130">
        <f t="shared" si="20"/>
        <v>6521.0625</v>
      </c>
      <c r="L48" s="130">
        <f t="shared" si="20"/>
        <v>6882.9375</v>
      </c>
      <c r="M48" s="130">
        <f t="shared" si="20"/>
        <v>7255.125</v>
      </c>
    </row>
    <row r="49" spans="1:13" ht="15" outlineLevel="1" x14ac:dyDescent="0.2">
      <c r="A49" s="1"/>
      <c r="B49" s="75" t="s">
        <v>63</v>
      </c>
      <c r="C49" s="87"/>
      <c r="D49" s="1"/>
      <c r="E49" s="1"/>
      <c r="F49" s="129">
        <v>-600</v>
      </c>
      <c r="G49" s="129">
        <v>-625</v>
      </c>
      <c r="H49" s="129">
        <v>-291</v>
      </c>
      <c r="I49" s="130">
        <f>I226</f>
        <v>-339.42933000000085</v>
      </c>
      <c r="J49" s="130">
        <f t="shared" ref="J49:M49" si="21">J226</f>
        <v>-139.96492953299912</v>
      </c>
      <c r="K49" s="130">
        <f t="shared" si="21"/>
        <v>-142.77822461661617</v>
      </c>
      <c r="L49" s="130">
        <f t="shared" si="21"/>
        <v>-109.05489588645014</v>
      </c>
      <c r="M49" s="130">
        <f t="shared" si="21"/>
        <v>-73.736154484859071</v>
      </c>
    </row>
    <row r="50" spans="1:13" ht="15" outlineLevel="1" x14ac:dyDescent="0.2">
      <c r="A50" s="1"/>
      <c r="B50" s="75" t="s">
        <v>64</v>
      </c>
      <c r="C50" s="87"/>
      <c r="D50" s="1"/>
      <c r="E50" s="1"/>
      <c r="F50" s="129">
        <v>-400</v>
      </c>
      <c r="G50" s="129">
        <v>-131</v>
      </c>
      <c r="H50" s="129">
        <v>-86</v>
      </c>
      <c r="I50" s="130">
        <f t="shared" ref="I50:M50" si="22">I227</f>
        <v>173.51756414041074</v>
      </c>
      <c r="J50" s="130">
        <f t="shared" si="22"/>
        <v>-59.251150452812453</v>
      </c>
      <c r="K50" s="130">
        <f t="shared" si="22"/>
        <v>-61.197408064691444</v>
      </c>
      <c r="L50" s="130">
        <f t="shared" si="22"/>
        <v>-51.15273903046409</v>
      </c>
      <c r="M50" s="130">
        <f t="shared" si="22"/>
        <v>-52.499473239378403</v>
      </c>
    </row>
    <row r="51" spans="1:13" ht="15" outlineLevel="1" x14ac:dyDescent="0.2">
      <c r="A51" s="1"/>
      <c r="B51" s="75" t="s">
        <v>65</v>
      </c>
      <c r="C51" s="87"/>
      <c r="D51" s="1"/>
      <c r="E51" s="1"/>
      <c r="F51" s="129">
        <v>-260</v>
      </c>
      <c r="G51" s="129">
        <v>181</v>
      </c>
      <c r="H51" s="129">
        <v>114</v>
      </c>
      <c r="I51" s="130">
        <f t="shared" ref="I51:M51" si="23">I228</f>
        <v>-382.22810262465737</v>
      </c>
      <c r="J51" s="130">
        <f t="shared" si="23"/>
        <v>94.801840724499925</v>
      </c>
      <c r="K51" s="130">
        <f t="shared" si="23"/>
        <v>97.91585290350622</v>
      </c>
      <c r="L51" s="130">
        <f t="shared" si="23"/>
        <v>81.84438244874309</v>
      </c>
      <c r="M51" s="130">
        <f t="shared" si="23"/>
        <v>83.999157183005082</v>
      </c>
    </row>
    <row r="52" spans="1:13" ht="15" outlineLevel="1" x14ac:dyDescent="0.2">
      <c r="A52" s="1"/>
      <c r="B52" s="87" t="s">
        <v>66</v>
      </c>
      <c r="C52" s="87"/>
      <c r="D52" s="1"/>
      <c r="E52" s="1"/>
      <c r="F52" s="131">
        <v>15655.7</v>
      </c>
      <c r="G52" s="131">
        <v>16011.8506</v>
      </c>
      <c r="H52" s="131">
        <v>17391.448499999999</v>
      </c>
      <c r="I52" s="132">
        <f ca="1">SUM(I46:I51)</f>
        <v>16527.625985056864</v>
      </c>
      <c r="J52" s="132">
        <f t="shared" ref="J52:M52" ca="1" si="24">SUM(J46:J51)</f>
        <v>16678.700840947193</v>
      </c>
      <c r="K52" s="132">
        <f t="shared" ca="1" si="24"/>
        <v>16854.716816523163</v>
      </c>
      <c r="L52" s="132">
        <f t="shared" ca="1" si="24"/>
        <v>17004.156346223983</v>
      </c>
      <c r="M52" s="132">
        <f t="shared" ca="1" si="24"/>
        <v>16909.282950905326</v>
      </c>
    </row>
    <row r="53" spans="1:13" ht="15" outlineLevel="1" x14ac:dyDescent="0.2">
      <c r="A53" s="1"/>
      <c r="B53" s="19"/>
      <c r="C53" s="19"/>
      <c r="D53" s="1"/>
      <c r="E53" s="1"/>
      <c r="F53" s="133"/>
      <c r="G53" s="133"/>
      <c r="H53" s="133"/>
      <c r="I53" s="135"/>
      <c r="J53" s="135"/>
      <c r="K53" s="135"/>
      <c r="L53" s="135"/>
      <c r="M53" s="135"/>
    </row>
    <row r="54" spans="1:13" ht="15" outlineLevel="1" x14ac:dyDescent="0.2">
      <c r="A54" s="1"/>
      <c r="B54" s="19"/>
      <c r="C54" s="19"/>
      <c r="D54" s="1"/>
      <c r="E54" s="1"/>
      <c r="F54" s="133"/>
      <c r="G54" s="133"/>
      <c r="H54" s="133"/>
      <c r="I54" s="135"/>
      <c r="J54" s="135"/>
      <c r="K54" s="135"/>
      <c r="L54" s="135"/>
      <c r="M54" s="135"/>
    </row>
    <row r="55" spans="1:13" ht="15" outlineLevel="1" x14ac:dyDescent="0.2">
      <c r="A55" s="1"/>
      <c r="B55" s="13" t="s">
        <v>67</v>
      </c>
      <c r="C55" s="13"/>
      <c r="D55" s="1"/>
      <c r="E55" s="1"/>
      <c r="F55" s="133"/>
      <c r="G55" s="133"/>
      <c r="H55" s="133"/>
      <c r="I55" s="135"/>
      <c r="J55" s="135"/>
      <c r="K55" s="135"/>
      <c r="L55" s="135"/>
      <c r="M55" s="135"/>
    </row>
    <row r="56" spans="1:13" ht="15" outlineLevel="1" x14ac:dyDescent="0.2">
      <c r="A56" s="1"/>
      <c r="B56" s="87" t="s">
        <v>9</v>
      </c>
      <c r="C56" s="87"/>
      <c r="D56" s="1"/>
      <c r="E56" s="1"/>
      <c r="F56" s="129">
        <v>-9014.9999999999909</v>
      </c>
      <c r="G56" s="129">
        <v>-11733</v>
      </c>
      <c r="H56" s="129">
        <v>-11130</v>
      </c>
      <c r="I56" s="130">
        <f>I284*-1</f>
        <v>-25475</v>
      </c>
      <c r="J56" s="130">
        <f t="shared" ref="J56:M56" si="25">J284*-1</f>
        <v>-7050</v>
      </c>
      <c r="K56" s="130">
        <f t="shared" si="25"/>
        <v>-7275</v>
      </c>
      <c r="L56" s="130">
        <f t="shared" si="25"/>
        <v>-7200</v>
      </c>
      <c r="M56" s="130">
        <f t="shared" si="25"/>
        <v>-7687.5</v>
      </c>
    </row>
    <row r="57" spans="1:13" ht="15" outlineLevel="1" x14ac:dyDescent="0.2">
      <c r="A57" s="1"/>
      <c r="B57" s="87" t="s">
        <v>66</v>
      </c>
      <c r="C57" s="87"/>
      <c r="D57" s="1"/>
      <c r="E57" s="1"/>
      <c r="F57" s="131">
        <v>-9014.9999999999909</v>
      </c>
      <c r="G57" s="131">
        <v>-11733</v>
      </c>
      <c r="H57" s="131">
        <v>-11130</v>
      </c>
      <c r="I57" s="132">
        <f>SUM(I56)</f>
        <v>-25475</v>
      </c>
      <c r="J57" s="132">
        <f t="shared" ref="J57:M57" si="26">SUM(J56)</f>
        <v>-7050</v>
      </c>
      <c r="K57" s="132">
        <f t="shared" si="26"/>
        <v>-7275</v>
      </c>
      <c r="L57" s="132">
        <f t="shared" si="26"/>
        <v>-7200</v>
      </c>
      <c r="M57" s="132">
        <f t="shared" si="26"/>
        <v>-7687.5</v>
      </c>
    </row>
    <row r="58" spans="1:13" ht="15" outlineLevel="1" x14ac:dyDescent="0.2">
      <c r="A58" s="1"/>
      <c r="B58" s="19"/>
      <c r="C58" s="19"/>
      <c r="D58" s="1"/>
      <c r="E58" s="1"/>
      <c r="F58" s="129"/>
      <c r="G58" s="129"/>
      <c r="H58" s="129"/>
      <c r="I58" s="125"/>
      <c r="J58" s="125"/>
      <c r="K58" s="125"/>
      <c r="L58" s="125"/>
      <c r="M58" s="125"/>
    </row>
    <row r="59" spans="1:13" ht="15" outlineLevel="1" x14ac:dyDescent="0.2">
      <c r="A59" s="1"/>
      <c r="B59" s="19"/>
      <c r="C59" s="19"/>
      <c r="D59" s="1"/>
      <c r="E59" s="1"/>
      <c r="F59" s="129"/>
      <c r="G59" s="129"/>
      <c r="H59" s="129"/>
      <c r="I59" s="125"/>
      <c r="J59" s="125"/>
      <c r="K59" s="125"/>
      <c r="L59" s="125"/>
      <c r="M59" s="125"/>
    </row>
    <row r="60" spans="1:13" ht="15" outlineLevel="1" x14ac:dyDescent="0.2">
      <c r="A60" s="1"/>
      <c r="B60" s="13" t="s">
        <v>68</v>
      </c>
      <c r="C60" s="13"/>
      <c r="D60" s="1"/>
      <c r="E60" s="1"/>
      <c r="F60" s="129"/>
      <c r="G60" s="129"/>
      <c r="H60" s="129"/>
      <c r="I60" s="125"/>
      <c r="J60" s="125"/>
      <c r="K60" s="125"/>
      <c r="L60" s="125"/>
      <c r="M60" s="125"/>
    </row>
    <row r="61" spans="1:13" ht="15" outlineLevel="1" x14ac:dyDescent="0.2">
      <c r="A61" s="1"/>
      <c r="B61" s="87" t="s">
        <v>69</v>
      </c>
      <c r="C61" s="87"/>
      <c r="D61" s="1"/>
      <c r="E61" s="1"/>
      <c r="F61" s="129">
        <v>0</v>
      </c>
      <c r="G61" s="129">
        <v>-4000</v>
      </c>
      <c r="H61" s="129">
        <v>-4000</v>
      </c>
      <c r="I61" s="130">
        <f>I371</f>
        <v>-4000</v>
      </c>
      <c r="J61" s="130">
        <f t="shared" ref="J61:M61" si="27">J371</f>
        <v>-4000</v>
      </c>
      <c r="K61" s="130">
        <f t="shared" si="27"/>
        <v>-4000</v>
      </c>
      <c r="L61" s="130">
        <f t="shared" si="27"/>
        <v>-4000</v>
      </c>
      <c r="M61" s="130">
        <f t="shared" si="27"/>
        <v>-4000</v>
      </c>
    </row>
    <row r="62" spans="1:13" ht="15" outlineLevel="1" x14ac:dyDescent="0.2">
      <c r="A62" s="1"/>
      <c r="B62" s="87" t="s">
        <v>70</v>
      </c>
      <c r="C62" s="87"/>
      <c r="D62" s="1"/>
      <c r="E62" s="1"/>
      <c r="F62" s="129">
        <v>0</v>
      </c>
      <c r="G62" s="129">
        <v>0</v>
      </c>
      <c r="H62" s="129">
        <v>0</v>
      </c>
      <c r="I62" s="130">
        <f ca="1">I403</f>
        <v>7576.5978356513569</v>
      </c>
      <c r="J62" s="130">
        <f t="shared" ref="J62:M62" ca="1" si="28">J403</f>
        <v>-2678.6575999054921</v>
      </c>
      <c r="K62" s="130">
        <f t="shared" ca="1" si="28"/>
        <v>-2627.1759935129694</v>
      </c>
      <c r="L62" s="130">
        <f t="shared" ca="1" si="28"/>
        <v>-2270.7642422328954</v>
      </c>
      <c r="M62" s="130">
        <f t="shared" ca="1" si="28"/>
        <v>0</v>
      </c>
    </row>
    <row r="63" spans="1:13" ht="15" outlineLevel="1" x14ac:dyDescent="0.2">
      <c r="A63" s="1"/>
      <c r="B63" s="87" t="s">
        <v>71</v>
      </c>
      <c r="C63" s="87"/>
      <c r="D63" s="1"/>
      <c r="E63" s="1"/>
      <c r="F63" s="129">
        <v>0</v>
      </c>
      <c r="G63" s="129">
        <v>0</v>
      </c>
      <c r="H63" s="129">
        <v>0</v>
      </c>
      <c r="I63" s="130">
        <f>I428</f>
        <v>-1000</v>
      </c>
      <c r="J63" s="130">
        <f t="shared" ref="J63:M63" si="29">J428</f>
        <v>-1000</v>
      </c>
      <c r="K63" s="130">
        <f t="shared" si="29"/>
        <v>-1000</v>
      </c>
      <c r="L63" s="130">
        <f t="shared" si="29"/>
        <v>-1000</v>
      </c>
      <c r="M63" s="130">
        <f t="shared" si="29"/>
        <v>-1000</v>
      </c>
    </row>
    <row r="64" spans="1:13" ht="15" outlineLevel="1" x14ac:dyDescent="0.2">
      <c r="A64" s="1"/>
      <c r="B64" s="87" t="s">
        <v>72</v>
      </c>
      <c r="C64" s="87"/>
      <c r="D64" s="1"/>
      <c r="E64" s="1"/>
      <c r="F64" s="129">
        <v>-3465</v>
      </c>
      <c r="G64" s="129">
        <v>-3761</v>
      </c>
      <c r="H64" s="129">
        <v>-3216</v>
      </c>
      <c r="I64" s="130">
        <f ca="1">I442</f>
        <v>-2039.2229207082216</v>
      </c>
      <c r="J64" s="130">
        <f t="shared" ref="J64:M64" ca="1" si="30">J442</f>
        <v>-1950.0432410417009</v>
      </c>
      <c r="K64" s="130">
        <f t="shared" ca="1" si="30"/>
        <v>-1952.5408230101939</v>
      </c>
      <c r="L64" s="130">
        <f t="shared" ca="1" si="30"/>
        <v>-1940.0892854259307</v>
      </c>
      <c r="M64" s="130">
        <f t="shared" ca="1" si="30"/>
        <v>-1871.7097576236865</v>
      </c>
    </row>
    <row r="65" spans="1:14" ht="15" outlineLevel="1" x14ac:dyDescent="0.2">
      <c r="A65" s="1"/>
      <c r="B65" s="87" t="s">
        <v>66</v>
      </c>
      <c r="C65" s="87"/>
      <c r="D65" s="1"/>
      <c r="E65" s="1"/>
      <c r="F65" s="131">
        <v>-3465</v>
      </c>
      <c r="G65" s="131">
        <v>-7761</v>
      </c>
      <c r="H65" s="131">
        <v>-7216</v>
      </c>
      <c r="I65" s="132">
        <f ca="1">SUM(I61:I64)</f>
        <v>537.37491494313531</v>
      </c>
      <c r="J65" s="132">
        <f t="shared" ref="J65:M65" ca="1" si="31">SUM(J61:J64)</f>
        <v>-9628.7008409471928</v>
      </c>
      <c r="K65" s="132">
        <f t="shared" ca="1" si="31"/>
        <v>-9579.7168165231633</v>
      </c>
      <c r="L65" s="132">
        <f t="shared" ca="1" si="31"/>
        <v>-9210.8535276588264</v>
      </c>
      <c r="M65" s="132">
        <f t="shared" ca="1" si="31"/>
        <v>-6871.7097576236865</v>
      </c>
    </row>
    <row r="66" spans="1:14" ht="15" outlineLevel="1" x14ac:dyDescent="0.2">
      <c r="A66" s="1"/>
      <c r="B66" s="19"/>
      <c r="C66" s="19"/>
      <c r="D66" s="1"/>
      <c r="E66" s="1"/>
      <c r="F66" s="129"/>
      <c r="G66" s="129"/>
      <c r="H66" s="129"/>
      <c r="I66" s="136"/>
      <c r="J66" s="136"/>
      <c r="K66" s="125"/>
      <c r="L66" s="125"/>
      <c r="M66" s="125"/>
    </row>
    <row r="67" spans="1:14" ht="15" outlineLevel="1" x14ac:dyDescent="0.2">
      <c r="A67" s="1"/>
      <c r="B67" s="19"/>
      <c r="C67" s="19"/>
      <c r="D67" s="1"/>
      <c r="E67" s="1"/>
      <c r="F67" s="129"/>
      <c r="G67" s="129"/>
      <c r="H67" s="129"/>
      <c r="I67" s="136"/>
      <c r="J67" s="136"/>
      <c r="K67" s="125"/>
      <c r="L67" s="125"/>
      <c r="M67" s="125"/>
    </row>
    <row r="68" spans="1:14" ht="15" outlineLevel="1" x14ac:dyDescent="0.2">
      <c r="A68" s="1"/>
      <c r="B68" s="13" t="s">
        <v>73</v>
      </c>
      <c r="C68" s="13"/>
      <c r="D68" s="1"/>
      <c r="E68" s="1"/>
      <c r="F68" s="129"/>
      <c r="G68" s="129"/>
      <c r="H68" s="129"/>
      <c r="I68" s="125"/>
      <c r="J68" s="125"/>
      <c r="K68" s="125"/>
      <c r="L68" s="125"/>
      <c r="M68" s="125"/>
    </row>
    <row r="69" spans="1:14" ht="15" outlineLevel="1" x14ac:dyDescent="0.2">
      <c r="A69" s="1"/>
      <c r="B69" s="87" t="s">
        <v>74</v>
      </c>
      <c r="C69" s="87"/>
      <c r="D69" s="1"/>
      <c r="E69" s="1"/>
      <c r="F69" s="129">
        <v>9671</v>
      </c>
      <c r="G69" s="129">
        <v>12846.7</v>
      </c>
      <c r="H69" s="129">
        <v>9364.5506000000005</v>
      </c>
      <c r="I69" s="130">
        <f>H71</f>
        <v>8409.9991000000009</v>
      </c>
      <c r="J69" s="130">
        <f t="shared" ref="J69:M69" ca="1" si="32">I71</f>
        <v>0</v>
      </c>
      <c r="K69" s="130">
        <f t="shared" ca="1" si="32"/>
        <v>0</v>
      </c>
      <c r="L69" s="130">
        <f t="shared" ca="1" si="32"/>
        <v>0</v>
      </c>
      <c r="M69" s="130">
        <f ca="1">L71</f>
        <v>593.30281856515649</v>
      </c>
    </row>
    <row r="70" spans="1:14" ht="15" outlineLevel="1" x14ac:dyDescent="0.2">
      <c r="A70" s="1"/>
      <c r="B70" s="87" t="s">
        <v>18</v>
      </c>
      <c r="C70" s="87"/>
      <c r="D70" s="1"/>
      <c r="E70" s="1"/>
      <c r="F70" s="129">
        <v>3175.7000000000098</v>
      </c>
      <c r="G70" s="129">
        <v>-3482.1494000000098</v>
      </c>
      <c r="H70" s="129">
        <v>-954.55150000000106</v>
      </c>
      <c r="I70" s="130">
        <f ca="1">I52+I57+I65</f>
        <v>-8409.9991000000009</v>
      </c>
      <c r="J70" s="130">
        <f t="shared" ref="J70:M70" ca="1" si="33">J52+J57+J65</f>
        <v>0</v>
      </c>
      <c r="K70" s="130">
        <f t="shared" ca="1" si="33"/>
        <v>0</v>
      </c>
      <c r="L70" s="130">
        <f ca="1">L52+L57+L65</f>
        <v>593.30281856515649</v>
      </c>
      <c r="M70" s="130">
        <f ca="1">M52+M57+M65</f>
        <v>2350.0731932816398</v>
      </c>
    </row>
    <row r="71" spans="1:14" ht="16" outlineLevel="1" thickBot="1" x14ac:dyDescent="0.25">
      <c r="A71" s="1"/>
      <c r="B71" s="87" t="s">
        <v>75</v>
      </c>
      <c r="C71" s="87"/>
      <c r="D71" s="1"/>
      <c r="E71" s="1"/>
      <c r="F71" s="137">
        <v>12846.7</v>
      </c>
      <c r="G71" s="137">
        <v>9364.5506000000005</v>
      </c>
      <c r="H71" s="137">
        <v>8409.9991000000009</v>
      </c>
      <c r="I71" s="138">
        <f ca="1">SUM(I69:I70)</f>
        <v>0</v>
      </c>
      <c r="J71" s="138">
        <f t="shared" ref="J71:M71" ca="1" si="34">SUM(J69:J70)</f>
        <v>0</v>
      </c>
      <c r="K71" s="138">
        <f t="shared" ca="1" si="34"/>
        <v>0</v>
      </c>
      <c r="L71" s="138">
        <f t="shared" ca="1" si="34"/>
        <v>593.30281856515649</v>
      </c>
      <c r="M71" s="138">
        <f ca="1">SUM(M69:M70)</f>
        <v>2943.3760118467962</v>
      </c>
      <c r="N71" s="303"/>
    </row>
    <row r="72" spans="1:14" ht="15" outlineLevel="1" x14ac:dyDescent="0.2">
      <c r="A72" s="1"/>
      <c r="B72" s="104"/>
      <c r="C72" s="9"/>
      <c r="D72" s="14"/>
      <c r="E72" s="14"/>
      <c r="F72" s="128"/>
      <c r="G72" s="128"/>
      <c r="H72" s="128"/>
      <c r="I72" s="128"/>
      <c r="J72" s="128"/>
      <c r="K72" s="128"/>
      <c r="L72" s="128"/>
      <c r="M72" s="128"/>
    </row>
    <row r="73" spans="1:14" ht="15" outlineLevel="1" x14ac:dyDescent="0.2">
      <c r="A73" s="1"/>
      <c r="B73" s="121"/>
      <c r="C73" s="121"/>
      <c r="D73" s="122"/>
      <c r="E73" s="122"/>
      <c r="F73" s="123"/>
      <c r="G73" s="123"/>
      <c r="H73" s="123"/>
      <c r="I73" s="123"/>
      <c r="J73" s="123"/>
      <c r="K73" s="123"/>
      <c r="L73" s="123"/>
      <c r="M73" s="123"/>
    </row>
    <row r="74" spans="1:14" ht="15" outlineLevel="1" x14ac:dyDescent="0.2">
      <c r="A74" s="1"/>
      <c r="B74" s="104"/>
      <c r="C74" s="19"/>
      <c r="D74" s="124"/>
      <c r="E74" s="19"/>
      <c r="F74" s="125"/>
      <c r="G74" s="125"/>
      <c r="H74" s="125"/>
      <c r="I74" s="125"/>
      <c r="J74" s="125"/>
      <c r="K74" s="125"/>
      <c r="L74" s="125"/>
      <c r="M74" s="125"/>
    </row>
    <row r="75" spans="1:14" ht="20" x14ac:dyDescent="0.2">
      <c r="A75" s="1" t="s">
        <v>0</v>
      </c>
      <c r="B75" s="3" t="s">
        <v>76</v>
      </c>
      <c r="C75" s="4"/>
      <c r="D75" s="5"/>
      <c r="E75" s="5"/>
      <c r="F75" s="6"/>
      <c r="G75" s="6"/>
      <c r="H75" s="6"/>
      <c r="I75" s="6"/>
      <c r="J75" s="6"/>
      <c r="K75" s="6"/>
      <c r="L75" s="6"/>
      <c r="M75" s="6"/>
    </row>
    <row r="76" spans="1:14" ht="20" outlineLevel="1" x14ac:dyDescent="0.2">
      <c r="A76" s="101"/>
      <c r="B76" s="8"/>
      <c r="C76" s="9"/>
      <c r="D76" s="10"/>
      <c r="E76" s="10"/>
      <c r="F76" s="11"/>
      <c r="G76" s="11"/>
      <c r="H76" s="11"/>
      <c r="I76" s="11"/>
      <c r="J76" s="11"/>
      <c r="K76" s="11"/>
      <c r="L76" s="11"/>
      <c r="M76" s="11"/>
    </row>
    <row r="77" spans="1:14" ht="21" outlineLevel="1" thickBot="1" x14ac:dyDescent="0.25">
      <c r="A77" s="101"/>
      <c r="B77" s="12" t="s">
        <v>2</v>
      </c>
      <c r="C77" s="9"/>
      <c r="D77" s="14"/>
      <c r="E77" s="14"/>
      <c r="F77" s="298">
        <f>F5</f>
        <v>2020</v>
      </c>
      <c r="G77" s="298">
        <f t="shared" ref="G77:H77" si="35">G5</f>
        <v>2021</v>
      </c>
      <c r="H77" s="298">
        <f t="shared" si="35"/>
        <v>2022</v>
      </c>
      <c r="I77" s="297">
        <f>I5</f>
        <v>2023</v>
      </c>
      <c r="J77" s="297">
        <f t="shared" ref="J77:M77" si="36">J5</f>
        <v>2024</v>
      </c>
      <c r="K77" s="297">
        <f t="shared" si="36"/>
        <v>2025</v>
      </c>
      <c r="L77" s="297">
        <f t="shared" si="36"/>
        <v>2026</v>
      </c>
      <c r="M77" s="297">
        <f t="shared" si="36"/>
        <v>2027</v>
      </c>
    </row>
    <row r="78" spans="1:14" ht="15" outlineLevel="1" x14ac:dyDescent="0.2">
      <c r="A78" s="1"/>
      <c r="B78" s="12" t="str">
        <f>B6</f>
        <v>Model Running : Base Case Drivers</v>
      </c>
      <c r="C78" s="9"/>
      <c r="D78" s="14"/>
      <c r="E78" s="14"/>
      <c r="F78" s="14"/>
      <c r="G78" s="14"/>
      <c r="H78" s="14"/>
      <c r="I78" s="103"/>
      <c r="J78" s="103"/>
      <c r="K78" s="103"/>
      <c r="L78" s="103"/>
      <c r="M78" s="103"/>
    </row>
    <row r="79" spans="1:14" ht="15" outlineLevel="1" x14ac:dyDescent="0.2">
      <c r="A79" s="1"/>
      <c r="B79" s="12"/>
      <c r="C79" s="9"/>
      <c r="D79" s="14"/>
      <c r="E79" s="14"/>
      <c r="F79" s="14"/>
      <c r="G79" s="14"/>
      <c r="H79" s="14"/>
      <c r="I79" s="103"/>
      <c r="J79" s="103"/>
      <c r="K79" s="103"/>
      <c r="L79" s="103"/>
      <c r="M79" s="103"/>
    </row>
    <row r="80" spans="1:14" ht="15" outlineLevel="1" x14ac:dyDescent="0.2">
      <c r="A80" s="1"/>
      <c r="B80" s="13" t="s">
        <v>77</v>
      </c>
      <c r="C80" s="13"/>
      <c r="D80" s="1"/>
      <c r="E80" s="1"/>
      <c r="F80" s="139"/>
      <c r="G80" s="139"/>
      <c r="H80" s="139"/>
      <c r="I80" s="125"/>
      <c r="J80" s="125"/>
      <c r="K80" s="125"/>
      <c r="L80" s="125"/>
      <c r="M80" s="125"/>
    </row>
    <row r="81" spans="1:13" ht="15" outlineLevel="1" x14ac:dyDescent="0.2">
      <c r="A81" s="1"/>
      <c r="B81" s="13"/>
      <c r="C81" s="13"/>
      <c r="D81" s="1"/>
      <c r="E81" s="1"/>
      <c r="F81" s="139"/>
      <c r="G81" s="139"/>
      <c r="H81" s="139"/>
      <c r="I81" s="125"/>
      <c r="J81" s="125"/>
      <c r="K81" s="125"/>
      <c r="L81" s="125"/>
      <c r="M81" s="125"/>
    </row>
    <row r="82" spans="1:13" ht="15" outlineLevel="1" x14ac:dyDescent="0.2">
      <c r="A82" s="1"/>
      <c r="B82" s="87" t="s">
        <v>78</v>
      </c>
      <c r="C82" s="87"/>
      <c r="D82" s="1"/>
      <c r="E82" s="1"/>
      <c r="F82" s="110">
        <v>12846.7</v>
      </c>
      <c r="G82" s="110">
        <v>9364.5506000000005</v>
      </c>
      <c r="H82" s="110">
        <v>8409.9991000000009</v>
      </c>
      <c r="I82" s="111">
        <f ca="1">I71</f>
        <v>0</v>
      </c>
      <c r="J82" s="111">
        <f t="shared" ref="J82:M82" ca="1" si="37">J71</f>
        <v>0</v>
      </c>
      <c r="K82" s="111">
        <f t="shared" ca="1" si="37"/>
        <v>0</v>
      </c>
      <c r="L82" s="111">
        <f t="shared" ca="1" si="37"/>
        <v>593.30281856515649</v>
      </c>
      <c r="M82" s="111">
        <f t="shared" ca="1" si="37"/>
        <v>2943.3760118467962</v>
      </c>
    </row>
    <row r="83" spans="1:13" ht="15" outlineLevel="1" x14ac:dyDescent="0.2">
      <c r="A83" s="1"/>
      <c r="B83" s="87" t="s">
        <v>11</v>
      </c>
      <c r="C83" s="87"/>
      <c r="D83" s="1"/>
      <c r="E83" s="1"/>
      <c r="F83" s="110">
        <v>5708</v>
      </c>
      <c r="G83" s="110">
        <v>6333</v>
      </c>
      <c r="H83" s="110">
        <v>6624</v>
      </c>
      <c r="I83" s="111">
        <f>I218</f>
        <v>6963.4293300000008</v>
      </c>
      <c r="J83" s="111">
        <f t="shared" ref="J83:M83" si="38">J218</f>
        <v>7103.394259533</v>
      </c>
      <c r="K83" s="111">
        <f t="shared" si="38"/>
        <v>7246.1724841496161</v>
      </c>
      <c r="L83" s="111">
        <f t="shared" si="38"/>
        <v>7355.2273800360663</v>
      </c>
      <c r="M83" s="111">
        <f t="shared" si="38"/>
        <v>7428.9635345209254</v>
      </c>
    </row>
    <row r="84" spans="1:13" ht="15" outlineLevel="1" x14ac:dyDescent="0.2">
      <c r="A84" s="1"/>
      <c r="B84" s="87" t="s">
        <v>79</v>
      </c>
      <c r="C84" s="87"/>
      <c r="D84" s="1"/>
      <c r="E84" s="1"/>
      <c r="F84" s="112">
        <v>1792</v>
      </c>
      <c r="G84" s="112">
        <v>1923</v>
      </c>
      <c r="H84" s="112">
        <v>2009</v>
      </c>
      <c r="I84" s="111">
        <f>I219</f>
        <v>1835.4824358595893</v>
      </c>
      <c r="J84" s="111">
        <f t="shared" ref="J84:M84" si="39">J219</f>
        <v>1894.7335863124017</v>
      </c>
      <c r="K84" s="111">
        <f t="shared" si="39"/>
        <v>1955.9309943770932</v>
      </c>
      <c r="L84" s="111">
        <f t="shared" si="39"/>
        <v>2007.0837334075572</v>
      </c>
      <c r="M84" s="111">
        <f t="shared" si="39"/>
        <v>2059.5832066469357</v>
      </c>
    </row>
    <row r="85" spans="1:13" ht="15" outlineLevel="1" x14ac:dyDescent="0.2">
      <c r="A85" s="1"/>
      <c r="B85" s="87" t="s">
        <v>80</v>
      </c>
      <c r="C85" s="87"/>
      <c r="D85" s="1"/>
      <c r="E85" s="1"/>
      <c r="F85" s="110">
        <v>20346.7</v>
      </c>
      <c r="G85" s="110">
        <v>17620.550599999999</v>
      </c>
      <c r="H85" s="110">
        <v>17042.999100000001</v>
      </c>
      <c r="I85" s="111">
        <f ca="1">SUM(I82:I84)</f>
        <v>8798.9117658595897</v>
      </c>
      <c r="J85" s="111">
        <f t="shared" ref="J85:M85" ca="1" si="40">SUM(J82:J84)</f>
        <v>8998.1278458454017</v>
      </c>
      <c r="K85" s="111">
        <f t="shared" ca="1" si="40"/>
        <v>9202.1034785267093</v>
      </c>
      <c r="L85" s="111">
        <f t="shared" ca="1" si="40"/>
        <v>9955.6139320087805</v>
      </c>
      <c r="M85" s="111">
        <f t="shared" ca="1" si="40"/>
        <v>12431.922753014658</v>
      </c>
    </row>
    <row r="86" spans="1:13" ht="15" outlineLevel="1" x14ac:dyDescent="0.2">
      <c r="A86" s="1"/>
      <c r="B86" s="23"/>
      <c r="C86" s="23"/>
      <c r="D86" s="1"/>
      <c r="E86" s="1"/>
      <c r="F86" s="140"/>
      <c r="G86" s="140"/>
      <c r="H86" s="140"/>
      <c r="I86" s="141"/>
      <c r="J86" s="141"/>
      <c r="K86" s="141"/>
      <c r="L86" s="141"/>
      <c r="M86" s="141"/>
    </row>
    <row r="87" spans="1:13" ht="15" outlineLevel="1" x14ac:dyDescent="0.2">
      <c r="A87" s="1"/>
      <c r="B87" s="87" t="s">
        <v>81</v>
      </c>
      <c r="C87" s="87"/>
      <c r="D87" s="1"/>
      <c r="E87" s="1"/>
      <c r="F87" s="140">
        <v>59192</v>
      </c>
      <c r="G87" s="140">
        <v>67729</v>
      </c>
      <c r="H87" s="140">
        <v>75407</v>
      </c>
      <c r="I87" s="142">
        <f>I294</f>
        <v>95532.1875</v>
      </c>
      <c r="J87" s="142">
        <f t="shared" ref="J87:M87" si="41">J294</f>
        <v>96419.25</v>
      </c>
      <c r="K87" s="142">
        <f t="shared" si="41"/>
        <v>97173.1875</v>
      </c>
      <c r="L87" s="142">
        <f t="shared" si="41"/>
        <v>97490.25</v>
      </c>
      <c r="M87" s="142">
        <f t="shared" si="41"/>
        <v>97922.625</v>
      </c>
    </row>
    <row r="88" spans="1:13" ht="15" outlineLevel="1" x14ac:dyDescent="0.2">
      <c r="A88" s="1"/>
      <c r="B88" s="87"/>
      <c r="C88" s="87"/>
      <c r="D88" s="136"/>
      <c r="E88" s="1"/>
      <c r="F88" s="140"/>
      <c r="G88" s="140"/>
      <c r="H88" s="140"/>
      <c r="I88" s="141"/>
      <c r="J88" s="141"/>
      <c r="K88" s="141"/>
      <c r="L88" s="141"/>
      <c r="M88" s="141"/>
    </row>
    <row r="89" spans="1:13" ht="15" outlineLevel="1" x14ac:dyDescent="0.2">
      <c r="A89" s="1"/>
      <c r="B89" s="87"/>
      <c r="C89" s="87"/>
      <c r="D89" s="136"/>
      <c r="E89" s="1"/>
      <c r="F89" s="140"/>
      <c r="G89" s="140"/>
      <c r="H89" s="140"/>
      <c r="I89" s="141"/>
      <c r="J89" s="141"/>
      <c r="K89" s="141"/>
      <c r="L89" s="141"/>
      <c r="M89" s="141"/>
    </row>
    <row r="90" spans="1:13" ht="16" outlineLevel="1" thickBot="1" x14ac:dyDescent="0.25">
      <c r="A90" s="1"/>
      <c r="B90" s="87" t="s">
        <v>82</v>
      </c>
      <c r="C90" s="23"/>
      <c r="D90" s="1"/>
      <c r="E90" s="1"/>
      <c r="F90" s="143">
        <v>79538.7</v>
      </c>
      <c r="G90" s="143">
        <v>85349.550600000002</v>
      </c>
      <c r="H90" s="143">
        <v>92449.999100000001</v>
      </c>
      <c r="I90" s="144">
        <f ca="1">I85+I87</f>
        <v>104331.09926585959</v>
      </c>
      <c r="J90" s="144">
        <f t="shared" ref="J90:M90" ca="1" si="42">J85+J87</f>
        <v>105417.3778458454</v>
      </c>
      <c r="K90" s="144">
        <f t="shared" ca="1" si="42"/>
        <v>106375.29097852671</v>
      </c>
      <c r="L90" s="144">
        <f t="shared" ca="1" si="42"/>
        <v>107445.86393200878</v>
      </c>
      <c r="M90" s="144">
        <f t="shared" ca="1" si="42"/>
        <v>110354.54775301466</v>
      </c>
    </row>
    <row r="91" spans="1:13" ht="15" outlineLevel="1" x14ac:dyDescent="0.2">
      <c r="A91" s="1"/>
      <c r="B91" s="19"/>
      <c r="C91" s="19"/>
      <c r="D91" s="1"/>
      <c r="E91" s="1"/>
      <c r="F91" s="140"/>
      <c r="G91" s="140"/>
      <c r="H91" s="140"/>
      <c r="I91" s="141"/>
      <c r="J91" s="141"/>
      <c r="K91" s="141"/>
      <c r="L91" s="141"/>
      <c r="M91" s="141"/>
    </row>
    <row r="92" spans="1:13" ht="15" outlineLevel="1" x14ac:dyDescent="0.2">
      <c r="A92" s="1"/>
      <c r="B92" s="13"/>
      <c r="C92" s="13"/>
      <c r="D92" s="1"/>
      <c r="E92" s="1"/>
      <c r="F92" s="140"/>
      <c r="G92" s="140"/>
      <c r="H92" s="140"/>
      <c r="I92" s="141"/>
      <c r="J92" s="141"/>
      <c r="K92" s="141"/>
      <c r="L92" s="141"/>
      <c r="M92" s="141"/>
    </row>
    <row r="93" spans="1:13" ht="15" outlineLevel="1" x14ac:dyDescent="0.2">
      <c r="A93" s="1"/>
      <c r="B93" s="13" t="s">
        <v>83</v>
      </c>
      <c r="C93" s="13"/>
      <c r="D93" s="1"/>
      <c r="E93" s="1"/>
      <c r="F93" s="140"/>
      <c r="G93" s="140"/>
      <c r="H93" s="140"/>
      <c r="I93" s="141"/>
      <c r="J93" s="141"/>
      <c r="K93" s="141"/>
      <c r="L93" s="141"/>
      <c r="M93" s="141"/>
    </row>
    <row r="94" spans="1:13" ht="15" outlineLevel="1" x14ac:dyDescent="0.2">
      <c r="A94" s="1"/>
      <c r="B94" s="13"/>
      <c r="C94" s="13"/>
      <c r="D94" s="1"/>
      <c r="E94" s="1"/>
      <c r="F94" s="140"/>
      <c r="G94" s="140"/>
      <c r="H94" s="140"/>
      <c r="I94" s="141"/>
      <c r="J94" s="141"/>
      <c r="K94" s="141"/>
      <c r="L94" s="141"/>
      <c r="M94" s="141"/>
    </row>
    <row r="95" spans="1:13" ht="15" outlineLevel="1" x14ac:dyDescent="0.2">
      <c r="A95" s="1"/>
      <c r="B95" s="87" t="s">
        <v>14</v>
      </c>
      <c r="C95" s="87"/>
      <c r="D95" s="1"/>
      <c r="E95" s="1"/>
      <c r="F95" s="140">
        <v>3024</v>
      </c>
      <c r="G95" s="140">
        <v>3205</v>
      </c>
      <c r="H95" s="140">
        <v>3319</v>
      </c>
      <c r="I95" s="142">
        <f>I220</f>
        <v>2936.7718973753426</v>
      </c>
      <c r="J95" s="142">
        <f t="shared" ref="J95:M95" si="43">J220</f>
        <v>3031.5737380998426</v>
      </c>
      <c r="K95" s="142">
        <f t="shared" si="43"/>
        <v>3129.4895910033488</v>
      </c>
      <c r="L95" s="142">
        <f t="shared" si="43"/>
        <v>3211.3339734520919</v>
      </c>
      <c r="M95" s="142">
        <f t="shared" si="43"/>
        <v>3295.3331306350969</v>
      </c>
    </row>
    <row r="96" spans="1:13" ht="15" outlineLevel="1" x14ac:dyDescent="0.2">
      <c r="A96" s="1"/>
      <c r="B96" s="87" t="s">
        <v>39</v>
      </c>
      <c r="C96" s="87"/>
      <c r="D96" s="129"/>
      <c r="E96" s="1"/>
      <c r="F96" s="110">
        <v>0</v>
      </c>
      <c r="G96" s="110">
        <v>0</v>
      </c>
      <c r="H96" s="110">
        <v>0</v>
      </c>
      <c r="I96" s="111">
        <f ca="1">I404</f>
        <v>7576.5978356513569</v>
      </c>
      <c r="J96" s="111">
        <f t="shared" ref="J96:M96" ca="1" si="44">J404</f>
        <v>4897.9402357458648</v>
      </c>
      <c r="K96" s="111">
        <f t="shared" ca="1" si="44"/>
        <v>2270.7642422328954</v>
      </c>
      <c r="L96" s="111">
        <f t="shared" ca="1" si="44"/>
        <v>0</v>
      </c>
      <c r="M96" s="111">
        <f t="shared" ca="1" si="44"/>
        <v>0</v>
      </c>
    </row>
    <row r="97" spans="1:14" ht="15" outlineLevel="1" x14ac:dyDescent="0.2">
      <c r="A97" s="1"/>
      <c r="B97" s="87" t="s">
        <v>84</v>
      </c>
      <c r="C97" s="87"/>
      <c r="D97" s="1"/>
      <c r="E97" s="1"/>
      <c r="F97" s="145">
        <v>3024</v>
      </c>
      <c r="G97" s="145">
        <v>3205</v>
      </c>
      <c r="H97" s="145">
        <v>3319</v>
      </c>
      <c r="I97" s="146">
        <f ca="1">SUM(I95:I96)</f>
        <v>10513.369733026699</v>
      </c>
      <c r="J97" s="146">
        <f t="shared" ref="J97:M97" ca="1" si="45">SUM(J95:J96)</f>
        <v>7929.5139738457074</v>
      </c>
      <c r="K97" s="146">
        <f t="shared" ca="1" si="45"/>
        <v>5400.2538332362437</v>
      </c>
      <c r="L97" s="146">
        <f t="shared" ca="1" si="45"/>
        <v>3211.3339734520919</v>
      </c>
      <c r="M97" s="146">
        <f t="shared" ca="1" si="45"/>
        <v>3295.3331306350969</v>
      </c>
    </row>
    <row r="98" spans="1:14" ht="15" outlineLevel="1" x14ac:dyDescent="0.2">
      <c r="A98" s="1"/>
      <c r="B98" s="23"/>
      <c r="C98" s="23"/>
      <c r="D98" s="1"/>
      <c r="E98" s="1"/>
      <c r="F98" s="140"/>
      <c r="G98" s="140"/>
      <c r="H98" s="140"/>
      <c r="I98" s="141"/>
      <c r="J98" s="141"/>
      <c r="K98" s="141"/>
      <c r="L98" s="141"/>
      <c r="M98" s="141"/>
    </row>
    <row r="99" spans="1:14" ht="15" outlineLevel="1" x14ac:dyDescent="0.2">
      <c r="A99" s="1"/>
      <c r="B99" s="87" t="s">
        <v>62</v>
      </c>
      <c r="C99" s="87"/>
      <c r="D99" s="1"/>
      <c r="E99" s="1"/>
      <c r="F99" s="140">
        <v>4155</v>
      </c>
      <c r="G99" s="140">
        <v>7016</v>
      </c>
      <c r="H99" s="140">
        <v>10028</v>
      </c>
      <c r="I99" s="142">
        <f ca="1">H99+I47</f>
        <v>11557.838750000001</v>
      </c>
      <c r="J99" s="142">
        <f ca="1">I99+J47</f>
        <v>12427.800125000002</v>
      </c>
      <c r="K99" s="142">
        <f t="shared" ref="J99:M99" ca="1" si="46">J99+K47</f>
        <v>13104.810106250001</v>
      </c>
      <c r="L99" s="142">
        <f t="shared" ca="1" si="46"/>
        <v>13603.9457778125</v>
      </c>
      <c r="M99" s="142">
        <f t="shared" ca="1" si="46"/>
        <v>13941.791411140624</v>
      </c>
    </row>
    <row r="100" spans="1:14" ht="15" outlineLevel="1" x14ac:dyDescent="0.2">
      <c r="A100" s="1"/>
      <c r="B100" s="87" t="s">
        <v>85</v>
      </c>
      <c r="C100" s="87"/>
      <c r="D100" s="1"/>
      <c r="E100" s="1"/>
      <c r="F100" s="140">
        <v>28000</v>
      </c>
      <c r="G100" s="140">
        <v>24000</v>
      </c>
      <c r="H100" s="140">
        <v>20000</v>
      </c>
      <c r="I100" s="142">
        <f>I372</f>
        <v>16000</v>
      </c>
      <c r="J100" s="142">
        <f t="shared" ref="J100:M100" si="47">J372</f>
        <v>12000</v>
      </c>
      <c r="K100" s="142">
        <f t="shared" si="47"/>
        <v>8000</v>
      </c>
      <c r="L100" s="142">
        <f t="shared" si="47"/>
        <v>4000</v>
      </c>
      <c r="M100" s="142">
        <f t="shared" si="47"/>
        <v>0</v>
      </c>
    </row>
    <row r="101" spans="1:14" ht="15" outlineLevel="1" x14ac:dyDescent="0.2">
      <c r="A101" s="1"/>
      <c r="B101" s="87" t="s">
        <v>86</v>
      </c>
      <c r="C101" s="87"/>
      <c r="D101" s="1"/>
      <c r="E101" s="1"/>
      <c r="F101" s="145">
        <v>35179</v>
      </c>
      <c r="G101" s="145">
        <v>34221</v>
      </c>
      <c r="H101" s="145">
        <v>33347</v>
      </c>
      <c r="I101" s="146">
        <f ca="1">SUM(I97,I99,I100)</f>
        <v>38071.208483026698</v>
      </c>
      <c r="J101" s="146">
        <f t="shared" ref="J101:M101" ca="1" si="48">SUM(J97,J99,J100)</f>
        <v>32357.314098845709</v>
      </c>
      <c r="K101" s="146">
        <f t="shared" ca="1" si="48"/>
        <v>26505.063939486245</v>
      </c>
      <c r="L101" s="146">
        <f t="shared" ca="1" si="48"/>
        <v>20815.279751264592</v>
      </c>
      <c r="M101" s="146">
        <f t="shared" ca="1" si="48"/>
        <v>17237.12454177572</v>
      </c>
    </row>
    <row r="102" spans="1:14" ht="15" outlineLevel="1" x14ac:dyDescent="0.2">
      <c r="A102" s="1"/>
      <c r="B102" s="23"/>
      <c r="C102" s="23"/>
      <c r="D102" s="1"/>
      <c r="E102" s="1"/>
      <c r="F102" s="140"/>
      <c r="G102" s="140"/>
      <c r="H102" s="140"/>
      <c r="I102" s="141"/>
      <c r="J102" s="141"/>
      <c r="K102" s="141"/>
      <c r="L102" s="141"/>
      <c r="M102" s="141"/>
    </row>
    <row r="103" spans="1:14" ht="15" outlineLevel="1" x14ac:dyDescent="0.2">
      <c r="A103" s="1"/>
      <c r="B103" s="23"/>
      <c r="C103" s="23"/>
      <c r="D103" s="1"/>
      <c r="E103" s="1"/>
      <c r="F103" s="140"/>
      <c r="G103" s="140"/>
      <c r="H103" s="140"/>
      <c r="I103" s="141"/>
      <c r="J103" s="141"/>
      <c r="K103" s="141"/>
      <c r="L103" s="141"/>
      <c r="M103" s="141"/>
    </row>
    <row r="104" spans="1:14" ht="15" outlineLevel="1" x14ac:dyDescent="0.2">
      <c r="A104" s="1"/>
      <c r="B104" s="13" t="s">
        <v>87</v>
      </c>
      <c r="C104" s="13"/>
      <c r="D104" s="1"/>
      <c r="E104" s="1"/>
      <c r="F104" s="140"/>
      <c r="G104" s="140"/>
      <c r="H104" s="140"/>
      <c r="I104" s="141"/>
      <c r="J104" s="141"/>
      <c r="K104" s="141"/>
      <c r="L104" s="141"/>
      <c r="M104" s="141"/>
    </row>
    <row r="105" spans="1:14" ht="15" outlineLevel="1" x14ac:dyDescent="0.2">
      <c r="A105" s="1"/>
      <c r="B105" s="13"/>
      <c r="C105" s="13"/>
      <c r="D105" s="1"/>
      <c r="E105" s="1"/>
      <c r="F105" s="140"/>
      <c r="G105" s="140"/>
      <c r="H105" s="140"/>
      <c r="I105" s="141"/>
      <c r="J105" s="141"/>
      <c r="K105" s="141"/>
      <c r="L105" s="141"/>
      <c r="M105" s="141"/>
    </row>
    <row r="106" spans="1:14" ht="15" outlineLevel="1" x14ac:dyDescent="0.2">
      <c r="A106" s="1"/>
      <c r="B106" s="87" t="s">
        <v>19</v>
      </c>
      <c r="C106" s="87"/>
      <c r="D106" s="1"/>
      <c r="E106" s="1"/>
      <c r="F106" s="140">
        <v>38669.700000000099</v>
      </c>
      <c r="G106" s="140">
        <v>38669.700000000099</v>
      </c>
      <c r="H106" s="140">
        <v>38669.700000000099</v>
      </c>
      <c r="I106" s="142">
        <f>I429</f>
        <v>37669.700000000099</v>
      </c>
      <c r="J106" s="142">
        <f t="shared" ref="J106:M106" si="49">J429</f>
        <v>36669.700000000099</v>
      </c>
      <c r="K106" s="142">
        <f t="shared" si="49"/>
        <v>35669.700000000099</v>
      </c>
      <c r="L106" s="142">
        <f t="shared" si="49"/>
        <v>34669.700000000099</v>
      </c>
      <c r="M106" s="142">
        <f t="shared" si="49"/>
        <v>33669.700000000099</v>
      </c>
    </row>
    <row r="107" spans="1:14" ht="15" outlineLevel="1" x14ac:dyDescent="0.2">
      <c r="A107" s="1"/>
      <c r="B107" s="87" t="s">
        <v>88</v>
      </c>
      <c r="C107" s="87"/>
      <c r="D107" s="1"/>
      <c r="E107" s="1"/>
      <c r="F107" s="140">
        <v>5690</v>
      </c>
      <c r="G107" s="140">
        <v>12458.8506</v>
      </c>
      <c r="H107" s="140">
        <v>20433.2991</v>
      </c>
      <c r="I107" s="142">
        <f ca="1">I443</f>
        <v>28590.190782832888</v>
      </c>
      <c r="J107" s="142">
        <f t="shared" ref="J107:M107" ca="1" si="50">J443</f>
        <v>36390.36374699969</v>
      </c>
      <c r="K107" s="142">
        <f t="shared" ca="1" si="50"/>
        <v>44200.527039040462</v>
      </c>
      <c r="L107" s="142">
        <f t="shared" ca="1" si="50"/>
        <v>51960.884180744186</v>
      </c>
      <c r="M107" s="142">
        <f t="shared" ca="1" si="50"/>
        <v>59447.723211238932</v>
      </c>
    </row>
    <row r="108" spans="1:14" ht="15" outlineLevel="1" x14ac:dyDescent="0.2">
      <c r="A108" s="1"/>
      <c r="B108" s="87" t="s">
        <v>89</v>
      </c>
      <c r="C108" s="87"/>
      <c r="D108" s="1"/>
      <c r="E108" s="1"/>
      <c r="F108" s="145">
        <v>44359.700000000099</v>
      </c>
      <c r="G108" s="145">
        <v>51128.550600000097</v>
      </c>
      <c r="H108" s="145">
        <v>59102.999100000103</v>
      </c>
      <c r="I108" s="146">
        <f ca="1">SUM(I106:I107)</f>
        <v>66259.890782832983</v>
      </c>
      <c r="J108" s="146">
        <f t="shared" ref="J108:M108" ca="1" si="51">SUM(J106:J107)</f>
        <v>73060.063746999789</v>
      </c>
      <c r="K108" s="146">
        <f t="shared" ca="1" si="51"/>
        <v>79870.227039040561</v>
      </c>
      <c r="L108" s="146">
        <f t="shared" ca="1" si="51"/>
        <v>86630.584180744278</v>
      </c>
      <c r="M108" s="146">
        <f t="shared" ca="1" si="51"/>
        <v>93117.423211239031</v>
      </c>
    </row>
    <row r="109" spans="1:14" ht="15" outlineLevel="1" x14ac:dyDescent="0.2">
      <c r="A109" s="1"/>
      <c r="B109" s="23"/>
      <c r="C109" s="23"/>
      <c r="D109" s="1"/>
      <c r="E109" s="1"/>
      <c r="F109" s="147"/>
      <c r="G109" s="147"/>
      <c r="H109" s="147"/>
      <c r="I109" s="120"/>
      <c r="J109" s="120"/>
      <c r="K109" s="120"/>
      <c r="L109" s="120"/>
      <c r="M109" s="120"/>
    </row>
    <row r="110" spans="1:14" ht="15" outlineLevel="1" x14ac:dyDescent="0.2">
      <c r="A110" s="1"/>
      <c r="B110" s="23"/>
      <c r="C110" s="23"/>
      <c r="D110" s="1"/>
      <c r="E110" s="1"/>
      <c r="F110" s="147"/>
      <c r="G110" s="147"/>
      <c r="H110" s="147"/>
      <c r="I110" s="120"/>
      <c r="J110" s="120"/>
      <c r="K110" s="120"/>
      <c r="L110" s="120"/>
      <c r="M110" s="120"/>
    </row>
    <row r="111" spans="1:14" ht="16" outlineLevel="1" thickBot="1" x14ac:dyDescent="0.25">
      <c r="A111" s="1"/>
      <c r="B111" s="87" t="s">
        <v>90</v>
      </c>
      <c r="C111" s="23"/>
      <c r="D111" s="1"/>
      <c r="E111" s="1"/>
      <c r="F111" s="143">
        <v>79538.700000000099</v>
      </c>
      <c r="G111" s="143">
        <v>85349.550600000104</v>
      </c>
      <c r="H111" s="143">
        <v>92449.999100000103</v>
      </c>
      <c r="I111" s="144">
        <f ca="1">I101+I108</f>
        <v>104331.09926585968</v>
      </c>
      <c r="J111" s="144">
        <f t="shared" ref="J111:M111" ca="1" si="52">J101+J108</f>
        <v>105417.37784584551</v>
      </c>
      <c r="K111" s="144">
        <f t="shared" ca="1" si="52"/>
        <v>106375.29097852681</v>
      </c>
      <c r="L111" s="144">
        <f t="shared" ca="1" si="52"/>
        <v>107445.86393200887</v>
      </c>
      <c r="M111" s="144">
        <f t="shared" ca="1" si="52"/>
        <v>110354.54775301475</v>
      </c>
      <c r="N111" s="302"/>
    </row>
    <row r="112" spans="1:14" ht="15" outlineLevel="1" x14ac:dyDescent="0.2">
      <c r="A112" s="1"/>
      <c r="B112" s="19"/>
      <c r="C112" s="19"/>
      <c r="D112" s="1"/>
      <c r="E112" s="1"/>
      <c r="F112" s="141"/>
      <c r="G112" s="141"/>
      <c r="H112" s="141"/>
      <c r="I112" s="125"/>
      <c r="J112" s="125"/>
      <c r="K112" s="125"/>
      <c r="L112" s="125"/>
      <c r="M112" s="125"/>
    </row>
    <row r="113" spans="1:13" ht="15" outlineLevel="1" x14ac:dyDescent="0.2">
      <c r="A113" s="1"/>
      <c r="B113" s="19"/>
      <c r="C113" s="19"/>
      <c r="D113" s="1"/>
      <c r="E113" s="1"/>
      <c r="F113" s="141"/>
      <c r="G113" s="141"/>
      <c r="H113" s="141"/>
      <c r="I113" s="125"/>
      <c r="J113" s="125"/>
      <c r="K113" s="125"/>
      <c r="L113" s="125"/>
      <c r="M113" s="125"/>
    </row>
    <row r="114" spans="1:13" ht="15" outlineLevel="1" x14ac:dyDescent="0.2">
      <c r="A114" s="1"/>
      <c r="B114" s="148" t="s">
        <v>91</v>
      </c>
      <c r="C114" s="148"/>
      <c r="D114" s="1"/>
      <c r="E114" s="1"/>
      <c r="F114" s="149">
        <f>ROUND(F90-F111,0)</f>
        <v>0</v>
      </c>
      <c r="G114" s="149">
        <f t="shared" ref="G114:M114" si="53">ROUND(G90-G111,0)</f>
        <v>0</v>
      </c>
      <c r="H114" s="149">
        <f>ROUND(H90-H111,0)</f>
        <v>0</v>
      </c>
      <c r="I114" s="149">
        <f t="shared" ca="1" si="53"/>
        <v>0</v>
      </c>
      <c r="J114" s="149">
        <f t="shared" ca="1" si="53"/>
        <v>0</v>
      </c>
      <c r="K114" s="149">
        <f t="shared" ca="1" si="53"/>
        <v>0</v>
      </c>
      <c r="L114" s="149">
        <f t="shared" ca="1" si="53"/>
        <v>0</v>
      </c>
      <c r="M114" s="149">
        <f t="shared" ca="1" si="53"/>
        <v>0</v>
      </c>
    </row>
    <row r="115" spans="1:13" ht="15" outlineLevel="1" x14ac:dyDescent="0.2">
      <c r="A115" s="1"/>
      <c r="B115" s="148"/>
      <c r="C115" s="148"/>
      <c r="D115" s="1"/>
      <c r="E115" s="1"/>
      <c r="F115" s="14"/>
      <c r="G115" s="14"/>
      <c r="H115" s="14"/>
      <c r="I115" s="103"/>
      <c r="J115" s="103"/>
      <c r="K115" s="103"/>
      <c r="L115" s="103"/>
      <c r="M115" s="103"/>
    </row>
    <row r="116" spans="1:13" ht="15" outlineLevel="1" x14ac:dyDescent="0.2">
      <c r="A116" s="1"/>
      <c r="B116" s="121"/>
      <c r="C116" s="121"/>
      <c r="D116" s="122"/>
      <c r="E116" s="122"/>
      <c r="F116" s="123"/>
      <c r="G116" s="123"/>
      <c r="H116" s="123"/>
      <c r="I116" s="123"/>
      <c r="J116" s="123"/>
      <c r="K116" s="123"/>
      <c r="L116" s="123"/>
      <c r="M116" s="123"/>
    </row>
    <row r="117" spans="1:13" ht="15" x14ac:dyDescent="0.2">
      <c r="A117" s="1"/>
      <c r="B117" s="104"/>
      <c r="C117" s="19"/>
      <c r="D117" s="124"/>
      <c r="E117" s="19"/>
      <c r="F117" s="125"/>
      <c r="G117" s="125"/>
      <c r="H117" s="125"/>
      <c r="I117" s="125"/>
      <c r="J117" s="125"/>
      <c r="K117" s="125"/>
      <c r="L117" s="125"/>
      <c r="M117" s="125"/>
    </row>
    <row r="118" spans="1:13" ht="20" x14ac:dyDescent="0.2">
      <c r="A118" s="2" t="s">
        <v>0</v>
      </c>
      <c r="B118" s="3" t="s">
        <v>92</v>
      </c>
      <c r="C118" s="4"/>
      <c r="D118" s="5"/>
      <c r="E118" s="5"/>
      <c r="F118" s="6"/>
      <c r="G118" s="6"/>
      <c r="H118" s="6"/>
      <c r="I118" s="6"/>
      <c r="J118" s="6"/>
      <c r="K118" s="6"/>
      <c r="L118" s="6"/>
      <c r="M118" s="6"/>
    </row>
    <row r="119" spans="1:13" ht="20" outlineLevel="1" x14ac:dyDescent="0.2">
      <c r="A119" s="2"/>
      <c r="B119" s="80"/>
      <c r="C119" s="9"/>
      <c r="D119" s="10"/>
      <c r="E119" s="10"/>
      <c r="F119" s="11"/>
      <c r="G119" s="11"/>
      <c r="H119" s="11"/>
      <c r="I119" s="11"/>
      <c r="J119" s="11"/>
      <c r="K119" s="11"/>
      <c r="L119" s="11"/>
      <c r="M119" s="11"/>
    </row>
    <row r="120" spans="1:13" ht="16" outlineLevel="1" thickBot="1" x14ac:dyDescent="0.25">
      <c r="A120" s="2"/>
      <c r="B120" s="12" t="s">
        <v>2</v>
      </c>
      <c r="C120" s="9"/>
      <c r="D120" s="14"/>
      <c r="E120" s="14"/>
      <c r="F120" s="102">
        <f>F5</f>
        <v>2020</v>
      </c>
      <c r="G120" s="102">
        <f t="shared" ref="G120:H120" si="54">G5</f>
        <v>2021</v>
      </c>
      <c r="H120" s="102">
        <f t="shared" si="54"/>
        <v>2022</v>
      </c>
      <c r="I120" s="16">
        <f>I5</f>
        <v>2023</v>
      </c>
      <c r="J120" s="16">
        <f t="shared" ref="J120:M120" si="55">J5</f>
        <v>2024</v>
      </c>
      <c r="K120" s="16">
        <f t="shared" si="55"/>
        <v>2025</v>
      </c>
      <c r="L120" s="16">
        <f t="shared" si="55"/>
        <v>2026</v>
      </c>
      <c r="M120" s="16">
        <f t="shared" si="55"/>
        <v>2027</v>
      </c>
    </row>
    <row r="121" spans="1:13" ht="15" outlineLevel="1" x14ac:dyDescent="0.2">
      <c r="A121" s="2"/>
      <c r="B121" s="12" t="str">
        <f>B6</f>
        <v>Model Running : Base Case Drivers</v>
      </c>
      <c r="C121" s="9"/>
      <c r="D121" s="14"/>
      <c r="E121" s="14"/>
      <c r="F121" s="14"/>
      <c r="G121" s="14"/>
      <c r="H121" s="14"/>
      <c r="I121" s="103"/>
      <c r="J121" s="103"/>
      <c r="K121" s="103"/>
      <c r="L121" s="103"/>
      <c r="M121" s="103"/>
    </row>
    <row r="122" spans="1:13" ht="15" outlineLevel="1" x14ac:dyDescent="0.2">
      <c r="A122" s="2"/>
      <c r="B122" s="1"/>
      <c r="C122" s="9"/>
      <c r="D122" s="14"/>
      <c r="E122" s="14"/>
      <c r="F122" s="14"/>
      <c r="G122" s="14"/>
      <c r="H122" s="14"/>
      <c r="I122" s="103"/>
      <c r="J122" s="103"/>
      <c r="K122" s="103"/>
      <c r="L122" s="103"/>
      <c r="M122" s="103"/>
    </row>
    <row r="123" spans="1:13" ht="15" outlineLevel="1" x14ac:dyDescent="0.2">
      <c r="A123" s="2"/>
      <c r="B123" s="1"/>
      <c r="C123" s="9"/>
      <c r="D123" s="14"/>
      <c r="E123" s="14"/>
      <c r="F123" s="14"/>
      <c r="G123" s="14"/>
      <c r="H123" s="14"/>
      <c r="I123" s="103"/>
      <c r="J123" s="103"/>
      <c r="K123" s="103"/>
      <c r="L123" s="103"/>
      <c r="M123" s="103"/>
    </row>
    <row r="124" spans="1:13" ht="20" outlineLevel="1" x14ac:dyDescent="0.2">
      <c r="A124" s="1"/>
      <c r="B124" s="18" t="s">
        <v>93</v>
      </c>
      <c r="C124" s="19"/>
      <c r="D124" s="124"/>
      <c r="E124" s="19"/>
      <c r="F124" s="150"/>
      <c r="G124" s="125"/>
      <c r="H124" s="125"/>
      <c r="I124" s="101"/>
      <c r="J124" s="101"/>
      <c r="K124" s="101"/>
      <c r="L124" s="101"/>
      <c r="M124" s="101"/>
    </row>
    <row r="125" spans="1:13" ht="15" outlineLevel="1" x14ac:dyDescent="0.2">
      <c r="A125" s="1"/>
      <c r="B125" s="104"/>
      <c r="C125" s="19"/>
      <c r="D125" s="124"/>
      <c r="E125" s="19"/>
      <c r="F125" s="125"/>
      <c r="G125" s="125"/>
      <c r="H125" s="125"/>
      <c r="I125" s="125"/>
      <c r="J125" s="125"/>
      <c r="K125" s="125"/>
      <c r="L125" s="125"/>
      <c r="M125" s="125"/>
    </row>
    <row r="126" spans="1:13" ht="20" outlineLevel="1" x14ac:dyDescent="0.2">
      <c r="A126" s="101"/>
      <c r="B126" s="87" t="s">
        <v>4</v>
      </c>
      <c r="C126" s="9"/>
      <c r="D126" s="14"/>
      <c r="E126" s="14"/>
      <c r="F126" s="14"/>
      <c r="G126" s="128">
        <f>G128/F128-1</f>
        <v>7.1428571428566734E-4</v>
      </c>
      <c r="H126" s="128">
        <v>2.06995003568879E-2</v>
      </c>
      <c r="I126" s="151">
        <f>Inputs!H10</f>
        <v>0.02</v>
      </c>
      <c r="J126" s="151">
        <f>Inputs!I10</f>
        <v>0.01</v>
      </c>
      <c r="K126" s="151">
        <f>Inputs!J10</f>
        <v>0.01</v>
      </c>
      <c r="L126" s="151">
        <f>Inputs!K10</f>
        <v>5.0000000000000001E-3</v>
      </c>
      <c r="M126" s="151">
        <f>Inputs!L10</f>
        <v>5.0000000000000001E-3</v>
      </c>
    </row>
    <row r="127" spans="1:13" ht="20" outlineLevel="1" x14ac:dyDescent="0.2">
      <c r="A127" s="101"/>
      <c r="B127" s="87"/>
      <c r="C127" s="9"/>
      <c r="D127" s="14"/>
      <c r="E127" s="14"/>
      <c r="F127" s="14"/>
      <c r="G127" s="128"/>
      <c r="H127" s="128"/>
      <c r="I127" s="128"/>
      <c r="J127" s="128"/>
      <c r="K127" s="128"/>
      <c r="L127" s="128"/>
      <c r="M127" s="128"/>
    </row>
    <row r="128" spans="1:13" ht="20" outlineLevel="1" x14ac:dyDescent="0.2">
      <c r="A128" s="101"/>
      <c r="B128" s="87" t="s">
        <v>94</v>
      </c>
      <c r="C128" s="9"/>
      <c r="D128" s="124" t="s">
        <v>33</v>
      </c>
      <c r="E128" s="14"/>
      <c r="F128" s="96">
        <v>1400</v>
      </c>
      <c r="G128" s="96">
        <v>1401</v>
      </c>
      <c r="H128" s="96">
        <v>1430</v>
      </c>
      <c r="I128" s="152">
        <f>H128*(1+I126)</f>
        <v>1458.6000000000001</v>
      </c>
      <c r="J128" s="152">
        <f t="shared" ref="J128:M128" si="56">I128*(1+J126)</f>
        <v>1473.1860000000001</v>
      </c>
      <c r="K128" s="152">
        <f t="shared" si="56"/>
        <v>1487.9178600000002</v>
      </c>
      <c r="L128" s="152">
        <f t="shared" si="56"/>
        <v>1495.3574493000001</v>
      </c>
      <c r="M128" s="152">
        <f t="shared" si="56"/>
        <v>1502.8342365465001</v>
      </c>
    </row>
    <row r="129" spans="1:13" ht="15" outlineLevel="1" x14ac:dyDescent="0.2">
      <c r="A129" s="1"/>
      <c r="B129" s="87" t="s">
        <v>32</v>
      </c>
      <c r="C129" s="19"/>
      <c r="D129" s="124" t="s">
        <v>33</v>
      </c>
      <c r="E129" s="19"/>
      <c r="F129" s="96">
        <v>1500</v>
      </c>
      <c r="G129" s="96">
        <v>1500</v>
      </c>
      <c r="H129" s="96">
        <v>1500</v>
      </c>
      <c r="I129" s="152">
        <f>Inputs!$F$57</f>
        <v>1600</v>
      </c>
      <c r="J129" s="152">
        <f>Inputs!$F$57</f>
        <v>1600</v>
      </c>
      <c r="K129" s="152">
        <f>Inputs!$F$57</f>
        <v>1600</v>
      </c>
      <c r="L129" s="152">
        <f>Inputs!$F$57</f>
        <v>1600</v>
      </c>
      <c r="M129" s="152">
        <f>Inputs!$F$57</f>
        <v>1600</v>
      </c>
    </row>
    <row r="130" spans="1:13" ht="15" outlineLevel="1" x14ac:dyDescent="0.2">
      <c r="A130" s="1"/>
      <c r="B130" s="87" t="s">
        <v>95</v>
      </c>
      <c r="C130" s="9"/>
      <c r="D130" s="14"/>
      <c r="E130" s="14"/>
      <c r="F130" s="153">
        <f>F128/F129</f>
        <v>0.93333333333333335</v>
      </c>
      <c r="G130" s="153">
        <f t="shared" ref="G130:H130" si="57">G128/G129</f>
        <v>0.93400000000000005</v>
      </c>
      <c r="H130" s="153">
        <f t="shared" si="57"/>
        <v>0.95333333333333337</v>
      </c>
      <c r="I130" s="153">
        <f>I128/I129</f>
        <v>0.91162500000000013</v>
      </c>
      <c r="J130" s="153">
        <f t="shared" ref="J130" si="58">J128/J129</f>
        <v>0.92074125000000007</v>
      </c>
      <c r="K130" s="153">
        <f t="shared" ref="K130" si="59">K128/K129</f>
        <v>0.92994866250000019</v>
      </c>
      <c r="L130" s="153">
        <f t="shared" ref="L130" si="60">L128/L129</f>
        <v>0.93459840581250009</v>
      </c>
      <c r="M130" s="153">
        <f t="shared" ref="M130" si="61">M128/M129</f>
        <v>0.93927139784156255</v>
      </c>
    </row>
    <row r="131" spans="1:13" ht="20" outlineLevel="1" x14ac:dyDescent="0.2">
      <c r="A131" s="101"/>
      <c r="B131" s="1"/>
      <c r="C131" s="9"/>
      <c r="D131" s="124"/>
      <c r="E131" s="14"/>
      <c r="F131" s="152"/>
      <c r="G131" s="152"/>
      <c r="H131" s="152"/>
      <c r="I131" s="152"/>
      <c r="J131" s="152"/>
      <c r="K131" s="152"/>
      <c r="L131" s="152"/>
      <c r="M131" s="152"/>
    </row>
    <row r="132" spans="1:13" ht="20" outlineLevel="1" x14ac:dyDescent="0.2">
      <c r="A132" s="101"/>
      <c r="B132" s="154"/>
      <c r="C132" s="155"/>
      <c r="D132" s="156"/>
      <c r="E132" s="157"/>
      <c r="F132" s="158"/>
      <c r="G132" s="158"/>
      <c r="H132" s="158"/>
      <c r="I132" s="158"/>
      <c r="J132" s="158"/>
      <c r="K132" s="158"/>
      <c r="L132" s="158"/>
      <c r="M132" s="158"/>
    </row>
    <row r="133" spans="1:13" ht="20" outlineLevel="1" x14ac:dyDescent="0.2">
      <c r="A133" s="101"/>
      <c r="B133" s="12"/>
      <c r="C133" s="9"/>
      <c r="D133" s="14"/>
      <c r="E133" s="14"/>
      <c r="F133" s="14"/>
      <c r="G133" s="14"/>
      <c r="H133" s="14"/>
      <c r="I133" s="101"/>
      <c r="J133" s="101"/>
      <c r="K133" s="101"/>
      <c r="L133" s="101"/>
      <c r="M133" s="101"/>
    </row>
    <row r="134" spans="1:13" ht="15" outlineLevel="1" x14ac:dyDescent="0.2">
      <c r="A134" s="1"/>
      <c r="B134" s="18" t="s">
        <v>96</v>
      </c>
      <c r="C134" s="19"/>
      <c r="D134" s="124"/>
      <c r="E134" s="19"/>
      <c r="F134" s="125"/>
      <c r="G134" s="125"/>
      <c r="H134" s="125"/>
      <c r="I134" s="125"/>
      <c r="J134" s="125"/>
      <c r="K134" s="125"/>
      <c r="L134" s="125"/>
      <c r="M134" s="125"/>
    </row>
    <row r="135" spans="1:13" ht="15" outlineLevel="1" x14ac:dyDescent="0.2">
      <c r="A135" s="1"/>
      <c r="B135" s="104"/>
      <c r="C135" s="19"/>
      <c r="D135" s="124"/>
      <c r="E135" s="19"/>
      <c r="F135" s="125"/>
      <c r="G135" s="125"/>
      <c r="H135" s="125"/>
      <c r="I135" s="125"/>
      <c r="J135" s="125"/>
      <c r="K135" s="125"/>
      <c r="L135" s="125"/>
      <c r="M135" s="125"/>
    </row>
    <row r="136" spans="1:13" ht="20" outlineLevel="1" x14ac:dyDescent="0.2">
      <c r="A136" s="101"/>
      <c r="B136" s="87" t="s">
        <v>25</v>
      </c>
      <c r="C136" s="9"/>
      <c r="D136" s="14"/>
      <c r="E136" s="14"/>
      <c r="F136" s="96">
        <v>365</v>
      </c>
      <c r="G136" s="96">
        <v>365</v>
      </c>
      <c r="H136" s="96">
        <v>365</v>
      </c>
      <c r="I136" s="152">
        <f>Inputs!$F$53</f>
        <v>365</v>
      </c>
      <c r="J136" s="152">
        <f>Inputs!$F$53</f>
        <v>365</v>
      </c>
      <c r="K136" s="152">
        <f>Inputs!$F$53</f>
        <v>365</v>
      </c>
      <c r="L136" s="152">
        <f>Inputs!$F$53</f>
        <v>365</v>
      </c>
      <c r="M136" s="152">
        <f>Inputs!$F$53</f>
        <v>365</v>
      </c>
    </row>
    <row r="137" spans="1:13" ht="20" outlineLevel="1" x14ac:dyDescent="0.2">
      <c r="A137" s="101"/>
      <c r="B137" s="87" t="s">
        <v>94</v>
      </c>
      <c r="C137" s="9"/>
      <c r="D137" s="124" t="s">
        <v>33</v>
      </c>
      <c r="E137" s="14"/>
      <c r="F137" s="158">
        <f>F128</f>
        <v>1400</v>
      </c>
      <c r="G137" s="158">
        <f>G128</f>
        <v>1401</v>
      </c>
      <c r="H137" s="158">
        <f t="shared" ref="G137:H137" si="62">H128</f>
        <v>1430</v>
      </c>
      <c r="I137" s="152">
        <f>I128</f>
        <v>1458.6000000000001</v>
      </c>
      <c r="J137" s="158">
        <f t="shared" ref="J137:M137" si="63">J128</f>
        <v>1473.1860000000001</v>
      </c>
      <c r="K137" s="158">
        <f t="shared" si="63"/>
        <v>1487.9178600000002</v>
      </c>
      <c r="L137" s="158">
        <f t="shared" si="63"/>
        <v>1495.3574493000001</v>
      </c>
      <c r="M137" s="158">
        <f t="shared" si="63"/>
        <v>1502.8342365465001</v>
      </c>
    </row>
    <row r="138" spans="1:13" ht="20" outlineLevel="1" x14ac:dyDescent="0.2">
      <c r="A138" s="101"/>
      <c r="B138" s="87" t="s">
        <v>94</v>
      </c>
      <c r="C138" s="9"/>
      <c r="D138" s="124" t="s">
        <v>97</v>
      </c>
      <c r="E138" s="14"/>
      <c r="F138" s="152">
        <f>F137*F136</f>
        <v>511000</v>
      </c>
      <c r="G138" s="152">
        <f>G137*G136</f>
        <v>511365</v>
      </c>
      <c r="H138" s="152">
        <f t="shared" ref="H138" si="64">H137*H136</f>
        <v>521950</v>
      </c>
      <c r="I138" s="159">
        <f t="shared" ref="I138" si="65">I137*I136</f>
        <v>532389</v>
      </c>
      <c r="J138" s="152">
        <f t="shared" ref="J138" si="66">J137*J136</f>
        <v>537712.89</v>
      </c>
      <c r="K138" s="152">
        <f t="shared" ref="K138" si="67">K137*K136</f>
        <v>543090.01890000014</v>
      </c>
      <c r="L138" s="152">
        <f t="shared" ref="L138" si="68">L137*L136</f>
        <v>545805.4689945</v>
      </c>
      <c r="M138" s="152">
        <f t="shared" ref="M138" si="69">M137*M136</f>
        <v>548534.49633947248</v>
      </c>
    </row>
    <row r="139" spans="1:13" ht="20" outlineLevel="1" x14ac:dyDescent="0.2">
      <c r="A139" s="101"/>
      <c r="B139" s="104"/>
      <c r="C139" s="9"/>
      <c r="D139" s="124"/>
      <c r="E139" s="14"/>
      <c r="F139" s="152"/>
      <c r="G139" s="152"/>
      <c r="H139" s="152"/>
      <c r="I139" s="160"/>
      <c r="J139" s="160"/>
      <c r="K139" s="160"/>
      <c r="L139" s="160"/>
      <c r="M139" s="160"/>
    </row>
    <row r="140" spans="1:13" ht="20" outlineLevel="1" x14ac:dyDescent="0.2">
      <c r="A140" s="101"/>
      <c r="B140" s="104"/>
      <c r="C140" s="9"/>
      <c r="D140" s="124"/>
      <c r="E140" s="14"/>
      <c r="F140" s="152"/>
      <c r="G140" s="152"/>
      <c r="H140" s="152"/>
      <c r="I140" s="160"/>
      <c r="J140" s="160"/>
      <c r="K140" s="160"/>
      <c r="L140" s="160"/>
      <c r="M140" s="160"/>
    </row>
    <row r="141" spans="1:13" ht="15" outlineLevel="1" x14ac:dyDescent="0.2">
      <c r="A141" s="1"/>
      <c r="B141" s="18" t="s">
        <v>98</v>
      </c>
      <c r="C141" s="19"/>
      <c r="D141" s="124"/>
      <c r="E141" s="124"/>
      <c r="F141" s="124"/>
      <c r="G141" s="124"/>
      <c r="H141" s="124"/>
      <c r="I141" s="124"/>
      <c r="J141" s="124"/>
      <c r="K141" s="124"/>
      <c r="L141" s="124"/>
      <c r="M141" s="152"/>
    </row>
    <row r="142" spans="1:13" ht="15" outlineLevel="1" x14ac:dyDescent="0.2">
      <c r="A142" s="1"/>
      <c r="B142" s="104"/>
      <c r="C142" s="19"/>
      <c r="D142" s="124"/>
      <c r="E142" s="19"/>
      <c r="F142" s="125"/>
      <c r="G142" s="125"/>
      <c r="H142" s="125"/>
      <c r="I142" s="125"/>
      <c r="J142" s="125"/>
      <c r="K142" s="125"/>
      <c r="L142" s="125"/>
      <c r="M142" s="125"/>
    </row>
    <row r="143" spans="1:13" ht="20" outlineLevel="1" x14ac:dyDescent="0.2">
      <c r="A143" s="101"/>
      <c r="B143" s="87" t="s">
        <v>8</v>
      </c>
      <c r="C143" s="9"/>
      <c r="D143" s="14"/>
      <c r="E143" s="14"/>
      <c r="F143" s="157"/>
      <c r="G143" s="161">
        <f>G144/F144-1</f>
        <v>2.020202020202011E-2</v>
      </c>
      <c r="H143" s="161">
        <f>H144/G144-1</f>
        <v>1.980198019801982E-2</v>
      </c>
      <c r="I143" s="162">
        <f>Inputs!H17</f>
        <v>0.03</v>
      </c>
      <c r="J143" s="162">
        <f>Inputs!I17</f>
        <v>0.01</v>
      </c>
      <c r="K143" s="162">
        <f>Inputs!J17</f>
        <v>0.01</v>
      </c>
      <c r="L143" s="162">
        <f>Inputs!K17</f>
        <v>0.01</v>
      </c>
      <c r="M143" s="162">
        <f>Inputs!L17</f>
        <v>5.0000000000000001E-3</v>
      </c>
    </row>
    <row r="144" spans="1:13" ht="20" outlineLevel="1" x14ac:dyDescent="0.2">
      <c r="A144" s="101"/>
      <c r="B144" s="87" t="s">
        <v>99</v>
      </c>
      <c r="C144" s="9"/>
      <c r="D144" s="124" t="s">
        <v>100</v>
      </c>
      <c r="E144" s="14"/>
      <c r="F144" s="163">
        <v>99</v>
      </c>
      <c r="G144" s="163">
        <v>101</v>
      </c>
      <c r="H144" s="163">
        <v>103</v>
      </c>
      <c r="I144" s="164">
        <f>H144*(1+I143)</f>
        <v>106.09</v>
      </c>
      <c r="J144" s="164">
        <f t="shared" ref="J144:M144" si="70">I144*(1+J143)</f>
        <v>107.15090000000001</v>
      </c>
      <c r="K144" s="164">
        <f t="shared" si="70"/>
        <v>108.22240900000001</v>
      </c>
      <c r="L144" s="164">
        <f t="shared" si="70"/>
        <v>109.30463309000001</v>
      </c>
      <c r="M144" s="164">
        <f t="shared" si="70"/>
        <v>109.85115625544999</v>
      </c>
    </row>
    <row r="145" spans="1:13" ht="20" outlineLevel="1" x14ac:dyDescent="0.2">
      <c r="A145" s="101"/>
      <c r="B145" s="1"/>
      <c r="C145" s="9"/>
      <c r="D145" s="124"/>
      <c r="E145" s="14"/>
      <c r="F145" s="163"/>
      <c r="G145" s="163"/>
      <c r="H145" s="163"/>
      <c r="I145" s="164"/>
      <c r="J145" s="164"/>
      <c r="K145" s="164"/>
      <c r="L145" s="164"/>
      <c r="M145" s="164"/>
    </row>
    <row r="146" spans="1:13" ht="20" outlineLevel="1" x14ac:dyDescent="0.2">
      <c r="A146" s="101"/>
      <c r="B146" s="1"/>
      <c r="C146" s="9"/>
      <c r="D146" s="124"/>
      <c r="E146" s="14"/>
      <c r="F146" s="163"/>
      <c r="G146" s="163"/>
      <c r="H146" s="163"/>
      <c r="I146" s="164"/>
      <c r="J146" s="164"/>
      <c r="K146" s="164"/>
      <c r="L146" s="164"/>
      <c r="M146" s="164"/>
    </row>
    <row r="147" spans="1:13" ht="15" outlineLevel="1" x14ac:dyDescent="0.2">
      <c r="A147" s="1"/>
      <c r="B147" s="18" t="s">
        <v>101</v>
      </c>
      <c r="C147" s="19"/>
      <c r="D147" s="124"/>
      <c r="E147" s="19"/>
      <c r="F147" s="125"/>
      <c r="G147" s="125"/>
      <c r="H147" s="125"/>
      <c r="I147" s="125"/>
      <c r="J147" s="125"/>
      <c r="K147" s="125"/>
      <c r="L147" s="125"/>
      <c r="M147" s="125"/>
    </row>
    <row r="148" spans="1:13" ht="15" outlineLevel="1" x14ac:dyDescent="0.2">
      <c r="A148" s="1"/>
      <c r="B148" s="104"/>
      <c r="C148" s="19"/>
      <c r="D148" s="124"/>
      <c r="E148" s="19"/>
      <c r="F148" s="125"/>
      <c r="G148" s="125"/>
      <c r="H148" s="125"/>
      <c r="I148" s="125"/>
      <c r="J148" s="125"/>
      <c r="K148" s="125"/>
      <c r="L148" s="125"/>
      <c r="M148" s="125"/>
    </row>
    <row r="149" spans="1:13" ht="20" outlineLevel="1" x14ac:dyDescent="0.2">
      <c r="A149" s="101"/>
      <c r="B149" s="87" t="s">
        <v>94</v>
      </c>
      <c r="C149" s="9"/>
      <c r="D149" s="124" t="s">
        <v>97</v>
      </c>
      <c r="E149" s="14"/>
      <c r="F149" s="152">
        <f>F138</f>
        <v>511000</v>
      </c>
      <c r="G149" s="152">
        <v>511365</v>
      </c>
      <c r="H149" s="152">
        <v>521950</v>
      </c>
      <c r="I149" s="152">
        <f>I138</f>
        <v>532389</v>
      </c>
      <c r="J149" s="152">
        <f t="shared" ref="J149:M149" si="71">J138</f>
        <v>537712.89</v>
      </c>
      <c r="K149" s="152">
        <f t="shared" si="71"/>
        <v>543090.01890000014</v>
      </c>
      <c r="L149" s="152">
        <f t="shared" si="71"/>
        <v>545805.4689945</v>
      </c>
      <c r="M149" s="152">
        <f t="shared" si="71"/>
        <v>548534.49633947248</v>
      </c>
    </row>
    <row r="150" spans="1:13" ht="20" outlineLevel="1" x14ac:dyDescent="0.2">
      <c r="A150" s="101"/>
      <c r="B150" s="87" t="s">
        <v>102</v>
      </c>
      <c r="C150" s="9"/>
      <c r="D150" s="124" t="s">
        <v>100</v>
      </c>
      <c r="E150" s="14"/>
      <c r="F150" s="164">
        <f>F144</f>
        <v>99</v>
      </c>
      <c r="G150" s="164">
        <v>101</v>
      </c>
      <c r="H150" s="164">
        <v>103</v>
      </c>
      <c r="I150" s="164">
        <f>I144</f>
        <v>106.09</v>
      </c>
      <c r="J150" s="164">
        <f t="shared" ref="J150:M150" si="72">J144</f>
        <v>107.15090000000001</v>
      </c>
      <c r="K150" s="164">
        <f t="shared" si="72"/>
        <v>108.22240900000001</v>
      </c>
      <c r="L150" s="164">
        <f t="shared" si="72"/>
        <v>109.30463309000001</v>
      </c>
      <c r="M150" s="164">
        <f t="shared" si="72"/>
        <v>109.85115625544999</v>
      </c>
    </row>
    <row r="151" spans="1:13" ht="21" outlineLevel="1" thickBot="1" x14ac:dyDescent="0.25">
      <c r="A151" s="101"/>
      <c r="B151" s="87" t="s">
        <v>46</v>
      </c>
      <c r="C151" s="9"/>
      <c r="D151" s="124"/>
      <c r="E151" s="14"/>
      <c r="F151" s="165">
        <f>F149*F150/1000</f>
        <v>50589</v>
      </c>
      <c r="G151" s="165">
        <f>G149*G150/1000</f>
        <v>51647.864999999998</v>
      </c>
      <c r="H151" s="165">
        <f t="shared" ref="G151:I151" si="73">H149*H150/1000</f>
        <v>53760.85</v>
      </c>
      <c r="I151" s="165">
        <f t="shared" si="73"/>
        <v>56481.149010000008</v>
      </c>
      <c r="J151" s="165">
        <f t="shared" ref="J151" si="74">J149*J150/1000</f>
        <v>57616.420105101002</v>
      </c>
      <c r="K151" s="165">
        <f t="shared" ref="K151" si="75">K149*K150/1000</f>
        <v>58774.510149213551</v>
      </c>
      <c r="L151" s="165">
        <f t="shared" ref="L151" si="76">L149*L150/1000</f>
        <v>59659.066526959199</v>
      </c>
      <c r="M151" s="165">
        <f t="shared" ref="M151" si="77">M149*M150/1000</f>
        <v>60257.148668891954</v>
      </c>
    </row>
    <row r="152" spans="1:13" ht="20" outlineLevel="1" x14ac:dyDescent="0.2">
      <c r="A152" s="101"/>
      <c r="B152" s="1"/>
      <c r="C152" s="9"/>
      <c r="D152" s="124"/>
      <c r="E152" s="14"/>
      <c r="F152" s="152"/>
      <c r="G152" s="152"/>
      <c r="H152" s="152"/>
      <c r="I152" s="152"/>
      <c r="J152" s="152"/>
      <c r="K152" s="152"/>
      <c r="L152" s="152"/>
      <c r="M152" s="152"/>
    </row>
    <row r="153" spans="1:13" ht="20" outlineLevel="1" x14ac:dyDescent="0.2">
      <c r="A153" s="101"/>
      <c r="B153" s="1"/>
      <c r="C153" s="9"/>
      <c r="D153" s="124"/>
      <c r="E153" s="14"/>
      <c r="F153" s="152"/>
      <c r="G153" s="152"/>
      <c r="H153" s="152"/>
      <c r="I153" s="152"/>
      <c r="J153" s="152"/>
      <c r="K153" s="152"/>
      <c r="L153" s="152"/>
      <c r="M153" s="152"/>
    </row>
    <row r="154" spans="1:13" ht="20" outlineLevel="1" x14ac:dyDescent="0.2">
      <c r="A154" s="101"/>
      <c r="B154" s="1"/>
      <c r="C154" s="9"/>
      <c r="D154" s="124"/>
      <c r="E154" s="14"/>
      <c r="F154" s="152"/>
      <c r="G154" s="152"/>
      <c r="H154" s="152"/>
      <c r="I154" s="152"/>
      <c r="J154" s="152"/>
      <c r="K154" s="152"/>
      <c r="L154" s="152"/>
      <c r="M154" s="152"/>
    </row>
    <row r="155" spans="1:13" ht="20" outlineLevel="1" x14ac:dyDescent="0.2">
      <c r="A155" s="101"/>
      <c r="B155" s="104" t="s">
        <v>103</v>
      </c>
      <c r="C155" s="9"/>
      <c r="D155" s="166"/>
      <c r="E155" s="14"/>
      <c r="F155" s="167">
        <f>IF(F130&gt;=1,1,0)</f>
        <v>0</v>
      </c>
      <c r="G155" s="168">
        <f>IF(G130&gt;=1,1,0)</f>
        <v>0</v>
      </c>
      <c r="H155" s="168">
        <f t="shared" ref="G155:M155" si="78">IF(H130&gt;=1,1,0)</f>
        <v>0</v>
      </c>
      <c r="I155" s="168">
        <f>IF(I130&gt;=1,1,0)</f>
        <v>0</v>
      </c>
      <c r="J155" s="168">
        <f t="shared" si="78"/>
        <v>0</v>
      </c>
      <c r="K155" s="168">
        <f t="shared" si="78"/>
        <v>0</v>
      </c>
      <c r="L155" s="168">
        <f t="shared" si="78"/>
        <v>0</v>
      </c>
      <c r="M155" s="168">
        <f t="shared" si="78"/>
        <v>0</v>
      </c>
    </row>
    <row r="156" spans="1:13" ht="20" outlineLevel="1" x14ac:dyDescent="0.2">
      <c r="A156" s="101"/>
      <c r="B156" s="12"/>
      <c r="C156" s="9"/>
      <c r="D156" s="14"/>
      <c r="E156" s="14"/>
      <c r="F156" s="14"/>
      <c r="G156" s="14"/>
      <c r="H156" s="14"/>
      <c r="I156" s="101"/>
      <c r="J156" s="101"/>
      <c r="K156" s="101"/>
      <c r="L156" s="101"/>
      <c r="M156" s="101"/>
    </row>
    <row r="157" spans="1:13" ht="15" outlineLevel="1" x14ac:dyDescent="0.2">
      <c r="A157" s="1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</row>
    <row r="158" spans="1:13" ht="15" x14ac:dyDescent="0.2">
      <c r="A158" s="1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</row>
    <row r="159" spans="1:13" ht="20" x14ac:dyDescent="0.2">
      <c r="A159" s="1" t="s">
        <v>0</v>
      </c>
      <c r="B159" s="3" t="s">
        <v>188</v>
      </c>
      <c r="C159" s="4"/>
      <c r="D159" s="5"/>
      <c r="E159" s="5"/>
      <c r="F159" s="6"/>
      <c r="G159" s="6"/>
      <c r="H159" s="6"/>
      <c r="I159" s="6"/>
      <c r="J159" s="6"/>
      <c r="K159" s="6"/>
      <c r="L159" s="6"/>
      <c r="M159" s="6"/>
    </row>
    <row r="160" spans="1:13" ht="20" outlineLevel="1" x14ac:dyDescent="0.2">
      <c r="A160" s="1"/>
      <c r="B160" s="8"/>
      <c r="C160" s="9"/>
      <c r="D160" s="10"/>
      <c r="E160" s="10"/>
      <c r="F160" s="11"/>
      <c r="G160" s="11"/>
      <c r="H160" s="11"/>
      <c r="I160" s="11"/>
      <c r="J160" s="11"/>
      <c r="K160" s="11"/>
      <c r="L160" s="11"/>
      <c r="M160" s="11"/>
    </row>
    <row r="161" spans="1:13" ht="16" outlineLevel="1" thickBot="1" x14ac:dyDescent="0.25">
      <c r="A161" s="1"/>
      <c r="B161" s="12" t="s">
        <v>2</v>
      </c>
      <c r="C161" s="9"/>
      <c r="D161" s="14"/>
      <c r="E161" s="14"/>
      <c r="F161" s="102">
        <f>F5</f>
        <v>2020</v>
      </c>
      <c r="G161" s="102">
        <f t="shared" ref="G161:H161" si="79">G5</f>
        <v>2021</v>
      </c>
      <c r="H161" s="102">
        <f t="shared" si="79"/>
        <v>2022</v>
      </c>
      <c r="I161" s="16">
        <f>I5</f>
        <v>2023</v>
      </c>
      <c r="J161" s="16">
        <f t="shared" ref="J161:M161" si="80">J5</f>
        <v>2024</v>
      </c>
      <c r="K161" s="16">
        <f t="shared" si="80"/>
        <v>2025</v>
      </c>
      <c r="L161" s="16">
        <f t="shared" si="80"/>
        <v>2026</v>
      </c>
      <c r="M161" s="16">
        <f t="shared" si="80"/>
        <v>2027</v>
      </c>
    </row>
    <row r="162" spans="1:13" ht="15" outlineLevel="1" x14ac:dyDescent="0.2">
      <c r="A162" s="1"/>
      <c r="B162" s="12" t="str">
        <f>B6</f>
        <v>Model Running : Base Case Drivers</v>
      </c>
      <c r="C162" s="9"/>
      <c r="D162" s="14"/>
      <c r="E162" s="14"/>
      <c r="F162" s="14"/>
      <c r="G162" s="14"/>
      <c r="H162" s="14"/>
      <c r="I162" s="103"/>
      <c r="J162" s="103"/>
      <c r="K162" s="103"/>
      <c r="L162" s="103"/>
      <c r="M162" s="103"/>
    </row>
    <row r="163" spans="1:13" ht="20" outlineLevel="1" x14ac:dyDescent="0.2">
      <c r="A163" s="1"/>
      <c r="B163" s="12"/>
      <c r="C163" s="9"/>
      <c r="D163" s="14"/>
      <c r="E163" s="14"/>
      <c r="F163" s="14"/>
      <c r="G163" s="14"/>
      <c r="H163" s="14"/>
      <c r="I163" s="101"/>
      <c r="J163" s="101"/>
      <c r="K163" s="101"/>
      <c r="L163" s="101"/>
      <c r="M163" s="101"/>
    </row>
    <row r="164" spans="1:13" ht="15" outlineLevel="1" x14ac:dyDescent="0.2">
      <c r="A164" s="1"/>
      <c r="B164" s="104" t="s">
        <v>94</v>
      </c>
      <c r="C164" s="9"/>
      <c r="D164" s="124"/>
      <c r="E164" s="14"/>
      <c r="F164" s="169">
        <f>F149</f>
        <v>511000</v>
      </c>
      <c r="G164" s="159">
        <f t="shared" ref="G164:H164" si="81">G149</f>
        <v>511365</v>
      </c>
      <c r="H164" s="159">
        <f>H149</f>
        <v>521950</v>
      </c>
      <c r="I164" s="159">
        <f>I149</f>
        <v>532389</v>
      </c>
      <c r="J164" s="159">
        <f t="shared" ref="I164:M164" si="82">J149</f>
        <v>537712.89</v>
      </c>
      <c r="K164" s="159">
        <f t="shared" si="82"/>
        <v>543090.01890000014</v>
      </c>
      <c r="L164" s="159">
        <f t="shared" si="82"/>
        <v>545805.4689945</v>
      </c>
      <c r="M164" s="170">
        <f t="shared" si="82"/>
        <v>548534.49633947248</v>
      </c>
    </row>
    <row r="165" spans="1:13" ht="15" outlineLevel="1" x14ac:dyDescent="0.2">
      <c r="A165" s="1"/>
      <c r="B165" s="104" t="s">
        <v>45</v>
      </c>
      <c r="C165" s="9"/>
      <c r="D165" s="14"/>
      <c r="E165" s="14"/>
      <c r="F165" s="171">
        <f>F8</f>
        <v>2.4E-2</v>
      </c>
      <c r="G165" s="161">
        <f t="shared" ref="G165:M165" si="83">G8</f>
        <v>2.1999999999999999E-2</v>
      </c>
      <c r="H165" s="161">
        <f t="shared" si="83"/>
        <v>2.3E-2</v>
      </c>
      <c r="I165" s="161">
        <f t="shared" si="83"/>
        <v>3.5000000000000003E-2</v>
      </c>
      <c r="J165" s="161">
        <f t="shared" si="83"/>
        <v>0.03</v>
      </c>
      <c r="K165" s="161">
        <f t="shared" si="83"/>
        <v>0.03</v>
      </c>
      <c r="L165" s="161">
        <f t="shared" si="83"/>
        <v>2.5000000000000001E-2</v>
      </c>
      <c r="M165" s="172">
        <f t="shared" si="83"/>
        <v>2.5000000000000001E-2</v>
      </c>
    </row>
    <row r="166" spans="1:13" ht="15" outlineLevel="1" x14ac:dyDescent="0.2">
      <c r="A166" s="1"/>
      <c r="B166" s="104"/>
      <c r="C166" s="9"/>
      <c r="D166" s="14"/>
      <c r="E166" s="14"/>
      <c r="F166" s="109"/>
      <c r="G166" s="109"/>
      <c r="H166" s="109"/>
      <c r="I166" s="128"/>
      <c r="J166" s="128"/>
      <c r="K166" s="128"/>
      <c r="L166" s="128"/>
      <c r="M166" s="128"/>
    </row>
    <row r="167" spans="1:13" ht="15" outlineLevel="1" x14ac:dyDescent="0.2">
      <c r="A167" s="1"/>
      <c r="B167" s="18" t="s">
        <v>104</v>
      </c>
      <c r="C167" s="19"/>
      <c r="D167" s="124"/>
      <c r="E167" s="19"/>
      <c r="F167" s="173"/>
      <c r="G167" s="173"/>
      <c r="H167" s="173"/>
      <c r="I167" s="125"/>
      <c r="J167" s="125"/>
      <c r="K167" s="125"/>
      <c r="L167" s="125"/>
      <c r="M167" s="125"/>
    </row>
    <row r="168" spans="1:13" ht="15" outlineLevel="1" x14ac:dyDescent="0.2">
      <c r="A168" s="1"/>
      <c r="B168" s="104"/>
      <c r="C168" s="19"/>
      <c r="D168" s="124"/>
      <c r="E168" s="19"/>
      <c r="F168" s="125"/>
      <c r="G168" s="125"/>
      <c r="H168" s="125"/>
      <c r="I168" s="125"/>
      <c r="J168" s="125"/>
      <c r="K168" s="125"/>
      <c r="L168" s="125"/>
      <c r="M168" s="125"/>
    </row>
    <row r="169" spans="1:13" ht="15" outlineLevel="1" x14ac:dyDescent="0.2">
      <c r="A169" s="1"/>
      <c r="B169" s="87" t="s">
        <v>105</v>
      </c>
      <c r="C169" s="9"/>
      <c r="D169" s="124" t="s">
        <v>100</v>
      </c>
      <c r="E169" s="14"/>
      <c r="F169" s="163">
        <v>9.5</v>
      </c>
      <c r="G169" s="163">
        <v>9.7200000000000006</v>
      </c>
      <c r="H169" s="163">
        <v>9.91</v>
      </c>
      <c r="I169" s="164">
        <f>H169*(1+I$165)</f>
        <v>10.25685</v>
      </c>
      <c r="J169" s="164">
        <f t="shared" ref="J169:M169" si="84">I169*(1+J$165)</f>
        <v>10.564555500000001</v>
      </c>
      <c r="K169" s="164">
        <f t="shared" si="84"/>
        <v>10.881492165000001</v>
      </c>
      <c r="L169" s="164">
        <f t="shared" si="84"/>
        <v>11.153529469125001</v>
      </c>
      <c r="M169" s="164">
        <f t="shared" si="84"/>
        <v>11.432367705853125</v>
      </c>
    </row>
    <row r="170" spans="1:13" ht="15" outlineLevel="1" x14ac:dyDescent="0.2">
      <c r="A170" s="1"/>
      <c r="B170" s="87" t="s">
        <v>106</v>
      </c>
      <c r="C170" s="9"/>
      <c r="D170" s="124" t="s">
        <v>100</v>
      </c>
      <c r="E170" s="14"/>
      <c r="F170" s="174">
        <v>0.8</v>
      </c>
      <c r="G170" s="174">
        <v>0.84</v>
      </c>
      <c r="H170" s="174">
        <v>0.86</v>
      </c>
      <c r="I170" s="175">
        <f t="shared" ref="I170:M170" si="85">H170*(1+I$165)</f>
        <v>0.89009999999999989</v>
      </c>
      <c r="J170" s="175">
        <f t="shared" si="85"/>
        <v>0.91680299999999992</v>
      </c>
      <c r="K170" s="175">
        <f t="shared" si="85"/>
        <v>0.9443070899999999</v>
      </c>
      <c r="L170" s="175">
        <f t="shared" si="85"/>
        <v>0.96791476724999981</v>
      </c>
      <c r="M170" s="175">
        <f t="shared" si="85"/>
        <v>0.99211263643124969</v>
      </c>
    </row>
    <row r="171" spans="1:13" ht="15" outlineLevel="1" x14ac:dyDescent="0.2">
      <c r="A171" s="1"/>
      <c r="B171" s="87" t="s">
        <v>66</v>
      </c>
      <c r="C171" s="19"/>
      <c r="D171" s="124"/>
      <c r="E171" s="19"/>
      <c r="F171" s="164">
        <v>10.3</v>
      </c>
      <c r="G171" s="164">
        <v>10.56</v>
      </c>
      <c r="H171" s="164">
        <v>10.77</v>
      </c>
      <c r="I171" s="164">
        <f>SUM(I169:I170)</f>
        <v>11.14695</v>
      </c>
      <c r="J171" s="164">
        <f t="shared" ref="J171:M171" si="86">SUM(J169:J170)</f>
        <v>11.481358500000001</v>
      </c>
      <c r="K171" s="164">
        <f t="shared" si="86"/>
        <v>11.825799255000002</v>
      </c>
      <c r="L171" s="164">
        <f t="shared" si="86"/>
        <v>12.121444236375</v>
      </c>
      <c r="M171" s="164">
        <f t="shared" si="86"/>
        <v>12.424480342284374</v>
      </c>
    </row>
    <row r="172" spans="1:13" ht="15" outlineLevel="1" x14ac:dyDescent="0.2">
      <c r="A172" s="1"/>
      <c r="B172" s="19"/>
      <c r="C172" s="19"/>
      <c r="D172" s="124"/>
      <c r="E172" s="19"/>
      <c r="F172" s="164"/>
      <c r="G172" s="164"/>
      <c r="H172" s="164"/>
      <c r="I172" s="164"/>
      <c r="J172" s="164"/>
      <c r="K172" s="164"/>
      <c r="L172" s="164"/>
      <c r="M172" s="164"/>
    </row>
    <row r="173" spans="1:13" ht="15" outlineLevel="1" x14ac:dyDescent="0.2">
      <c r="A173" s="1"/>
      <c r="B173" s="87" t="s">
        <v>105</v>
      </c>
      <c r="C173" s="9"/>
      <c r="D173" s="124"/>
      <c r="E173" s="14"/>
      <c r="F173" s="152">
        <f>F169*F164/1000</f>
        <v>4854.5</v>
      </c>
      <c r="G173" s="152">
        <f t="shared" ref="G173:M173" si="87">G169*G164/1000</f>
        <v>4970.4678000000004</v>
      </c>
      <c r="H173" s="152">
        <f t="shared" si="87"/>
        <v>5172.5245000000004</v>
      </c>
      <c r="I173" s="152">
        <f t="shared" si="87"/>
        <v>5460.6341146499999</v>
      </c>
      <c r="J173" s="152">
        <f t="shared" si="87"/>
        <v>5680.6976694703962</v>
      </c>
      <c r="K173" s="152">
        <f t="shared" si="87"/>
        <v>5909.6297855500543</v>
      </c>
      <c r="L173" s="152">
        <f t="shared" si="87"/>
        <v>6087.6573828397477</v>
      </c>
      <c r="M173" s="152">
        <f t="shared" si="87"/>
        <v>6271.0480614977942</v>
      </c>
    </row>
    <row r="174" spans="1:13" ht="15" outlineLevel="1" x14ac:dyDescent="0.2">
      <c r="A174" s="1"/>
      <c r="B174" s="87" t="s">
        <v>106</v>
      </c>
      <c r="C174" s="9"/>
      <c r="D174" s="124"/>
      <c r="E174" s="14"/>
      <c r="F174" s="158">
        <f>F164*F170/1000</f>
        <v>408.8</v>
      </c>
      <c r="G174" s="158">
        <f t="shared" ref="G174:M174" si="88">G164*G170/1000</f>
        <v>429.54659999999996</v>
      </c>
      <c r="H174" s="158">
        <f t="shared" si="88"/>
        <v>448.87700000000001</v>
      </c>
      <c r="I174" s="158">
        <f t="shared" si="88"/>
        <v>473.87944889999994</v>
      </c>
      <c r="J174" s="158">
        <f t="shared" si="88"/>
        <v>492.97679069066999</v>
      </c>
      <c r="K174" s="158">
        <f t="shared" si="88"/>
        <v>512.84375535550407</v>
      </c>
      <c r="L174" s="158">
        <f t="shared" si="88"/>
        <v>528.29317348558845</v>
      </c>
      <c r="M174" s="158">
        <f t="shared" si="88"/>
        <v>544.20800533684167</v>
      </c>
    </row>
    <row r="175" spans="1:13" ht="15" outlineLevel="1" x14ac:dyDescent="0.2">
      <c r="A175" s="1"/>
      <c r="B175" s="87" t="s">
        <v>66</v>
      </c>
      <c r="C175" s="19"/>
      <c r="D175" s="124"/>
      <c r="E175" s="19"/>
      <c r="F175" s="152">
        <f>SUM(F173:F174)</f>
        <v>5263.3</v>
      </c>
      <c r="G175" s="152">
        <f t="shared" ref="G175:M175" si="89">SUM(G173:G174)</f>
        <v>5400.0144</v>
      </c>
      <c r="H175" s="152">
        <f t="shared" si="89"/>
        <v>5621.4015000000009</v>
      </c>
      <c r="I175" s="152">
        <f t="shared" si="89"/>
        <v>5934.5135635500001</v>
      </c>
      <c r="J175" s="152">
        <f t="shared" si="89"/>
        <v>6173.6744601610662</v>
      </c>
      <c r="K175" s="152">
        <f t="shared" si="89"/>
        <v>6422.4735409055584</v>
      </c>
      <c r="L175" s="152">
        <f t="shared" si="89"/>
        <v>6615.950556325336</v>
      </c>
      <c r="M175" s="152">
        <f t="shared" si="89"/>
        <v>6815.2560668346359</v>
      </c>
    </row>
    <row r="176" spans="1:13" ht="15" outlineLevel="1" x14ac:dyDescent="0.2">
      <c r="A176" s="1"/>
      <c r="B176" s="176"/>
      <c r="C176" s="122"/>
      <c r="D176" s="156"/>
      <c r="E176" s="122"/>
      <c r="F176" s="177"/>
      <c r="G176" s="177"/>
      <c r="H176" s="177"/>
      <c r="I176" s="177"/>
      <c r="J176" s="177"/>
      <c r="K176" s="177"/>
      <c r="L176" s="177"/>
      <c r="M176" s="177"/>
    </row>
    <row r="177" spans="1:13" ht="15" outlineLevel="1" x14ac:dyDescent="0.2">
      <c r="A177" s="1"/>
      <c r="B177" s="104"/>
      <c r="C177" s="19"/>
      <c r="D177" s="124"/>
      <c r="E177" s="19"/>
      <c r="F177" s="125"/>
      <c r="G177" s="125"/>
      <c r="H177" s="125"/>
      <c r="I177" s="125"/>
      <c r="J177" s="125"/>
      <c r="K177" s="125"/>
      <c r="L177" s="125"/>
      <c r="M177" s="125"/>
    </row>
    <row r="178" spans="1:13" ht="15" outlineLevel="1" x14ac:dyDescent="0.2">
      <c r="A178" s="1"/>
      <c r="B178" s="18" t="s">
        <v>107</v>
      </c>
      <c r="C178" s="19"/>
      <c r="D178" s="124"/>
      <c r="E178" s="19"/>
      <c r="F178" s="125"/>
      <c r="G178" s="125"/>
      <c r="H178" s="125"/>
      <c r="I178" s="125"/>
      <c r="J178" s="125"/>
      <c r="K178" s="125"/>
      <c r="L178" s="125"/>
      <c r="M178" s="125"/>
    </row>
    <row r="179" spans="1:13" ht="15" outlineLevel="1" x14ac:dyDescent="0.2">
      <c r="A179" s="1"/>
      <c r="B179" s="178"/>
      <c r="C179" s="19"/>
      <c r="D179" s="124"/>
      <c r="E179" s="19"/>
      <c r="F179" s="125"/>
      <c r="G179" s="125"/>
      <c r="H179" s="125"/>
      <c r="I179" s="125"/>
      <c r="J179" s="125"/>
      <c r="K179" s="125"/>
      <c r="L179" s="125"/>
      <c r="M179" s="125"/>
    </row>
    <row r="180" spans="1:13" ht="15" outlineLevel="1" x14ac:dyDescent="0.2">
      <c r="A180" s="1"/>
      <c r="B180" s="87" t="s">
        <v>108</v>
      </c>
      <c r="C180" s="9"/>
      <c r="D180" s="124" t="s">
        <v>100</v>
      </c>
      <c r="E180" s="14"/>
      <c r="F180" s="164">
        <f>F184/F164*1000</f>
        <v>30.587084148727985</v>
      </c>
      <c r="G180" s="164">
        <f t="shared" ref="G180:M180" si="90">G184/G164*1000</f>
        <v>31.236005592873973</v>
      </c>
      <c r="H180" s="164">
        <f>H184/H164*1000</f>
        <v>31.307596513075964</v>
      </c>
      <c r="I180" s="164">
        <f t="shared" si="90"/>
        <v>31.768002344150606</v>
      </c>
      <c r="J180" s="164">
        <f t="shared" si="90"/>
        <v>32.397071697500124</v>
      </c>
      <c r="K180" s="164">
        <f t="shared" si="90"/>
        <v>33.038597869727852</v>
      </c>
      <c r="L180" s="164">
        <f t="shared" si="90"/>
        <v>33.696082404448802</v>
      </c>
      <c r="M180" s="164">
        <f t="shared" si="90"/>
        <v>34.366651208517439</v>
      </c>
    </row>
    <row r="181" spans="1:13" ht="15" outlineLevel="1" x14ac:dyDescent="0.2">
      <c r="A181" s="1"/>
      <c r="B181" s="87" t="s">
        <v>109</v>
      </c>
      <c r="C181" s="9"/>
      <c r="D181" s="124" t="s">
        <v>100</v>
      </c>
      <c r="E181" s="14"/>
      <c r="F181" s="175">
        <f>F185*1000/F164</f>
        <v>7.1448140900195698</v>
      </c>
      <c r="G181" s="175">
        <f t="shared" ref="G181:M181" si="91">G185*1000/G164</f>
        <v>7.2961583213555876</v>
      </c>
      <c r="H181" s="175">
        <f t="shared" si="91"/>
        <v>7.312961011591149</v>
      </c>
      <c r="I181" s="175">
        <f t="shared" si="91"/>
        <v>7.4205045558792539</v>
      </c>
      <c r="J181" s="175">
        <f t="shared" si="91"/>
        <v>7.5674452401540906</v>
      </c>
      <c r="K181" s="175">
        <f t="shared" si="91"/>
        <v>7.7172956409492199</v>
      </c>
      <c r="L181" s="175">
        <f t="shared" si="91"/>
        <v>7.8708736636546774</v>
      </c>
      <c r="M181" s="175">
        <f t="shared" si="91"/>
        <v>8.0275079654189501</v>
      </c>
    </row>
    <row r="182" spans="1:13" ht="15" outlineLevel="1" x14ac:dyDescent="0.2">
      <c r="A182" s="1"/>
      <c r="B182" s="87" t="s">
        <v>66</v>
      </c>
      <c r="C182" s="19"/>
      <c r="D182" s="124"/>
      <c r="E182" s="19"/>
      <c r="F182" s="164">
        <f>SUM(F180:F181)</f>
        <v>37.731898238747554</v>
      </c>
      <c r="G182" s="164">
        <f t="shared" ref="G182:M182" si="92">SUM(G180:G181)</f>
        <v>38.532163914229557</v>
      </c>
      <c r="H182" s="164">
        <f t="shared" si="92"/>
        <v>38.620557524667113</v>
      </c>
      <c r="I182" s="164">
        <f t="shared" si="92"/>
        <v>39.188506900029857</v>
      </c>
      <c r="J182" s="164">
        <f t="shared" si="92"/>
        <v>39.964516937654217</v>
      </c>
      <c r="K182" s="164">
        <f t="shared" si="92"/>
        <v>40.755893510677069</v>
      </c>
      <c r="L182" s="164">
        <f t="shared" si="92"/>
        <v>41.56695606810348</v>
      </c>
      <c r="M182" s="164">
        <f t="shared" si="92"/>
        <v>42.394159173936387</v>
      </c>
    </row>
    <row r="183" spans="1:13" ht="15" outlineLevel="1" x14ac:dyDescent="0.2">
      <c r="A183" s="1"/>
      <c r="B183" s="19"/>
      <c r="C183" s="19"/>
      <c r="D183" s="124"/>
      <c r="E183" s="19"/>
      <c r="F183" s="125"/>
      <c r="G183" s="125"/>
      <c r="H183" s="125"/>
      <c r="I183" s="125"/>
      <c r="J183" s="125"/>
      <c r="K183" s="125"/>
      <c r="L183" s="125"/>
      <c r="M183" s="125"/>
    </row>
    <row r="184" spans="1:13" ht="15" outlineLevel="1" x14ac:dyDescent="0.2">
      <c r="A184" s="1"/>
      <c r="B184" s="87" t="s">
        <v>108</v>
      </c>
      <c r="C184" s="9"/>
      <c r="D184" s="96"/>
      <c r="E184" s="14"/>
      <c r="F184" s="96">
        <v>15630</v>
      </c>
      <c r="G184" s="96">
        <v>15973</v>
      </c>
      <c r="H184" s="96">
        <v>16341</v>
      </c>
      <c r="I184" s="152">
        <f>H184*(1+I$165)</f>
        <v>16912.934999999998</v>
      </c>
      <c r="J184" s="152">
        <f t="shared" ref="J184:M184" si="93">I184*(1+J$165)</f>
        <v>17420.323049999999</v>
      </c>
      <c r="K184" s="152">
        <f t="shared" si="93"/>
        <v>17942.932741500001</v>
      </c>
      <c r="L184" s="152">
        <f t="shared" si="93"/>
        <v>18391.5060600375</v>
      </c>
      <c r="M184" s="152">
        <f t="shared" si="93"/>
        <v>18851.293711538437</v>
      </c>
    </row>
    <row r="185" spans="1:13" ht="15" outlineLevel="1" x14ac:dyDescent="0.2">
      <c r="A185" s="1"/>
      <c r="B185" s="87" t="s">
        <v>109</v>
      </c>
      <c r="C185" s="9"/>
      <c r="D185" s="124"/>
      <c r="E185" s="14"/>
      <c r="F185" s="179">
        <v>3651</v>
      </c>
      <c r="G185" s="179">
        <v>3731</v>
      </c>
      <c r="H185" s="179">
        <v>3817</v>
      </c>
      <c r="I185" s="158">
        <f t="shared" ref="I185:M185" si="94">H185*(1+I$165)</f>
        <v>3950.5949999999998</v>
      </c>
      <c r="J185" s="158">
        <f t="shared" si="94"/>
        <v>4069.11285</v>
      </c>
      <c r="K185" s="158">
        <f t="shared" si="94"/>
        <v>4191.1862355000003</v>
      </c>
      <c r="L185" s="158">
        <f t="shared" si="94"/>
        <v>4295.9658913875001</v>
      </c>
      <c r="M185" s="158">
        <f t="shared" si="94"/>
        <v>4403.3650386721874</v>
      </c>
    </row>
    <row r="186" spans="1:13" ht="15" outlineLevel="1" x14ac:dyDescent="0.2">
      <c r="A186" s="1"/>
      <c r="B186" s="87" t="s">
        <v>66</v>
      </c>
      <c r="C186" s="19"/>
      <c r="D186" s="124"/>
      <c r="E186" s="19"/>
      <c r="F186" s="152">
        <f>SUM(F184:F185)</f>
        <v>19281</v>
      </c>
      <c r="G186" s="152">
        <f t="shared" ref="G186:M186" si="95">SUM(G184:G185)</f>
        <v>19704</v>
      </c>
      <c r="H186" s="152">
        <f t="shared" si="95"/>
        <v>20158</v>
      </c>
      <c r="I186" s="152">
        <f t="shared" si="95"/>
        <v>20863.53</v>
      </c>
      <c r="J186" s="152">
        <f t="shared" si="95"/>
        <v>21489.4359</v>
      </c>
      <c r="K186" s="152">
        <f t="shared" si="95"/>
        <v>22134.118977000002</v>
      </c>
      <c r="L186" s="152">
        <f t="shared" si="95"/>
        <v>22687.471951424999</v>
      </c>
      <c r="M186" s="152">
        <f t="shared" si="95"/>
        <v>23254.658750210627</v>
      </c>
    </row>
    <row r="187" spans="1:13" ht="15" outlineLevel="1" x14ac:dyDescent="0.2">
      <c r="A187" s="1"/>
      <c r="B187" s="176"/>
      <c r="C187" s="122"/>
      <c r="D187" s="156"/>
      <c r="E187" s="122"/>
      <c r="F187" s="177"/>
      <c r="G187" s="180"/>
      <c r="H187" s="180"/>
      <c r="I187" s="177"/>
      <c r="J187" s="177"/>
      <c r="K187" s="177"/>
      <c r="L187" s="177"/>
      <c r="M187" s="177"/>
    </row>
    <row r="188" spans="1:13" ht="15" outlineLevel="1" x14ac:dyDescent="0.2">
      <c r="A188" s="1"/>
      <c r="B188" s="104"/>
      <c r="C188" s="19"/>
      <c r="D188" s="124"/>
      <c r="E188" s="19"/>
      <c r="F188" s="125"/>
      <c r="G188" s="160"/>
      <c r="H188" s="160"/>
      <c r="I188" s="125"/>
      <c r="J188" s="125"/>
      <c r="K188" s="125"/>
      <c r="L188" s="125"/>
      <c r="M188" s="125"/>
    </row>
    <row r="189" spans="1:13" ht="15" outlineLevel="1" x14ac:dyDescent="0.2">
      <c r="A189" s="1"/>
      <c r="B189" s="18" t="s">
        <v>110</v>
      </c>
      <c r="C189" s="19"/>
      <c r="D189" s="124"/>
      <c r="E189" s="19"/>
      <c r="F189" s="125"/>
      <c r="G189" s="125"/>
      <c r="H189" s="125"/>
      <c r="I189" s="125"/>
      <c r="J189" s="1"/>
      <c r="K189" s="1"/>
      <c r="L189" s="1"/>
      <c r="M189" s="1"/>
    </row>
    <row r="190" spans="1:13" ht="15" outlineLevel="1" x14ac:dyDescent="0.2">
      <c r="A190" s="1"/>
      <c r="B190" s="18"/>
      <c r="C190" s="19"/>
      <c r="D190" s="124"/>
      <c r="E190" s="19"/>
      <c r="F190" s="125"/>
      <c r="G190" s="125"/>
      <c r="H190" s="125"/>
      <c r="I190" s="125"/>
      <c r="J190" s="125"/>
      <c r="K190" s="125"/>
      <c r="L190" s="125"/>
      <c r="M190" s="125"/>
    </row>
    <row r="191" spans="1:13" ht="15" outlineLevel="1" x14ac:dyDescent="0.2">
      <c r="A191" s="1"/>
      <c r="B191" s="87" t="s">
        <v>111</v>
      </c>
      <c r="C191" s="19"/>
      <c r="D191" s="124" t="s">
        <v>100</v>
      </c>
      <c r="E191" s="19"/>
      <c r="F191" s="164">
        <f>F171</f>
        <v>10.3</v>
      </c>
      <c r="G191" s="164">
        <f t="shared" ref="G191:M191" si="96">G171</f>
        <v>10.56</v>
      </c>
      <c r="H191" s="164">
        <f t="shared" si="96"/>
        <v>10.77</v>
      </c>
      <c r="I191" s="164">
        <f t="shared" si="96"/>
        <v>11.14695</v>
      </c>
      <c r="J191" s="164">
        <f t="shared" si="96"/>
        <v>11.481358500000001</v>
      </c>
      <c r="K191" s="164">
        <f t="shared" si="96"/>
        <v>11.825799255000002</v>
      </c>
      <c r="L191" s="164">
        <f t="shared" si="96"/>
        <v>12.121444236375</v>
      </c>
      <c r="M191" s="164">
        <f t="shared" si="96"/>
        <v>12.424480342284374</v>
      </c>
    </row>
    <row r="192" spans="1:13" ht="15" outlineLevel="1" x14ac:dyDescent="0.2">
      <c r="A192" s="1"/>
      <c r="B192" s="87" t="s">
        <v>112</v>
      </c>
      <c r="C192" s="19"/>
      <c r="D192" s="124" t="s">
        <v>100</v>
      </c>
      <c r="E192" s="19"/>
      <c r="F192" s="175">
        <f>F182</f>
        <v>37.731898238747554</v>
      </c>
      <c r="G192" s="175">
        <f t="shared" ref="G192:M192" si="97">G182</f>
        <v>38.532163914229557</v>
      </c>
      <c r="H192" s="175">
        <f t="shared" si="97"/>
        <v>38.620557524667113</v>
      </c>
      <c r="I192" s="175">
        <f t="shared" si="97"/>
        <v>39.188506900029857</v>
      </c>
      <c r="J192" s="175">
        <f t="shared" si="97"/>
        <v>39.964516937654217</v>
      </c>
      <c r="K192" s="175">
        <f t="shared" si="97"/>
        <v>40.755893510677069</v>
      </c>
      <c r="L192" s="175">
        <f t="shared" si="97"/>
        <v>41.56695606810348</v>
      </c>
      <c r="M192" s="175">
        <f t="shared" si="97"/>
        <v>42.394159173936387</v>
      </c>
    </row>
    <row r="193" spans="1:13" ht="15" outlineLevel="1" x14ac:dyDescent="0.2">
      <c r="A193" s="1"/>
      <c r="B193" s="87" t="s">
        <v>113</v>
      </c>
      <c r="C193" s="19"/>
      <c r="D193" s="124" t="s">
        <v>100</v>
      </c>
      <c r="E193" s="19"/>
      <c r="F193" s="164">
        <f>SUM(F191:F192)</f>
        <v>48.031898238747559</v>
      </c>
      <c r="G193" s="164">
        <f t="shared" ref="G193:M193" si="98">SUM(G191:G192)</f>
        <v>49.092163914229559</v>
      </c>
      <c r="H193" s="164">
        <f t="shared" si="98"/>
        <v>49.390557524667116</v>
      </c>
      <c r="I193" s="164">
        <f t="shared" si="98"/>
        <v>50.335456900029854</v>
      </c>
      <c r="J193" s="164">
        <f t="shared" si="98"/>
        <v>51.445875437654216</v>
      </c>
      <c r="K193" s="164">
        <f t="shared" si="98"/>
        <v>52.581692765677069</v>
      </c>
      <c r="L193" s="164">
        <f t="shared" si="98"/>
        <v>53.688400304478478</v>
      </c>
      <c r="M193" s="164">
        <f t="shared" si="98"/>
        <v>54.818639516220763</v>
      </c>
    </row>
    <row r="194" spans="1:13" ht="15" outlineLevel="1" x14ac:dyDescent="0.2">
      <c r="A194" s="1"/>
      <c r="B194" s="104"/>
      <c r="C194" s="19"/>
      <c r="D194" s="124"/>
      <c r="E194" s="19"/>
      <c r="F194" s="164"/>
      <c r="G194" s="164"/>
      <c r="H194" s="164"/>
      <c r="I194" s="164"/>
      <c r="J194" s="164"/>
      <c r="K194" s="164"/>
      <c r="L194" s="164"/>
      <c r="M194" s="164"/>
    </row>
    <row r="195" spans="1:13" ht="15" outlineLevel="1" x14ac:dyDescent="0.2">
      <c r="A195" s="1"/>
      <c r="B195" s="87" t="s">
        <v>111</v>
      </c>
      <c r="C195" s="19"/>
      <c r="D195" s="124"/>
      <c r="E195" s="19"/>
      <c r="F195" s="152">
        <f>F175</f>
        <v>5263.3</v>
      </c>
      <c r="G195" s="152">
        <f t="shared" ref="G195:M195" si="99">G175</f>
        <v>5400.0144</v>
      </c>
      <c r="H195" s="152">
        <f t="shared" si="99"/>
        <v>5621.4015000000009</v>
      </c>
      <c r="I195" s="152">
        <f t="shared" si="99"/>
        <v>5934.5135635500001</v>
      </c>
      <c r="J195" s="152">
        <f t="shared" si="99"/>
        <v>6173.6744601610662</v>
      </c>
      <c r="K195" s="152">
        <f t="shared" si="99"/>
        <v>6422.4735409055584</v>
      </c>
      <c r="L195" s="152">
        <f t="shared" si="99"/>
        <v>6615.950556325336</v>
      </c>
      <c r="M195" s="152">
        <f t="shared" si="99"/>
        <v>6815.2560668346359</v>
      </c>
    </row>
    <row r="196" spans="1:13" ht="15" outlineLevel="1" x14ac:dyDescent="0.2">
      <c r="A196" s="1"/>
      <c r="B196" s="87" t="s">
        <v>112</v>
      </c>
      <c r="C196" s="19"/>
      <c r="D196" s="124"/>
      <c r="E196" s="19"/>
      <c r="F196" s="152">
        <f>F186</f>
        <v>19281</v>
      </c>
      <c r="G196" s="152">
        <f t="shared" ref="G196:M196" si="100">G186</f>
        <v>19704</v>
      </c>
      <c r="H196" s="152">
        <f t="shared" si="100"/>
        <v>20158</v>
      </c>
      <c r="I196" s="152">
        <f t="shared" si="100"/>
        <v>20863.53</v>
      </c>
      <c r="J196" s="152">
        <f t="shared" si="100"/>
        <v>21489.4359</v>
      </c>
      <c r="K196" s="152">
        <f t="shared" si="100"/>
        <v>22134.118977000002</v>
      </c>
      <c r="L196" s="152">
        <f t="shared" si="100"/>
        <v>22687.471951424999</v>
      </c>
      <c r="M196" s="152">
        <f t="shared" si="100"/>
        <v>23254.658750210627</v>
      </c>
    </row>
    <row r="197" spans="1:13" ht="16" outlineLevel="1" thickBot="1" x14ac:dyDescent="0.25">
      <c r="A197" s="1"/>
      <c r="B197" s="87" t="s">
        <v>113</v>
      </c>
      <c r="C197" s="19"/>
      <c r="D197" s="124"/>
      <c r="E197" s="19"/>
      <c r="F197" s="165">
        <f>SUM(F195:F196)</f>
        <v>24544.3</v>
      </c>
      <c r="G197" s="165">
        <f t="shared" ref="G197:M197" si="101">SUM(G195:G196)</f>
        <v>25104.0144</v>
      </c>
      <c r="H197" s="165">
        <f t="shared" si="101"/>
        <v>25779.4015</v>
      </c>
      <c r="I197" s="165">
        <f t="shared" si="101"/>
        <v>26798.04356355</v>
      </c>
      <c r="J197" s="165">
        <f t="shared" si="101"/>
        <v>27663.110360161067</v>
      </c>
      <c r="K197" s="165">
        <f t="shared" si="101"/>
        <v>28556.592517905559</v>
      </c>
      <c r="L197" s="165">
        <f t="shared" si="101"/>
        <v>29303.422507750336</v>
      </c>
      <c r="M197" s="165">
        <f t="shared" si="101"/>
        <v>30069.914817045261</v>
      </c>
    </row>
    <row r="198" spans="1:13" ht="15" outlineLevel="1" x14ac:dyDescent="0.2">
      <c r="A198" s="1"/>
      <c r="B198" s="18"/>
      <c r="C198" s="19"/>
      <c r="D198" s="124"/>
      <c r="E198" s="19"/>
      <c r="F198" s="152"/>
      <c r="G198" s="152"/>
      <c r="H198" s="152"/>
      <c r="I198" s="152"/>
      <c r="J198" s="152"/>
      <c r="K198" s="152"/>
      <c r="L198" s="152"/>
      <c r="M198" s="152"/>
    </row>
    <row r="199" spans="1:13" ht="15" outlineLevel="1" x14ac:dyDescent="0.2">
      <c r="A199" s="1"/>
      <c r="B199" s="176"/>
      <c r="C199" s="155"/>
      <c r="D199" s="156"/>
      <c r="E199" s="157"/>
      <c r="F199" s="179"/>
      <c r="G199" s="179"/>
      <c r="H199" s="181"/>
      <c r="I199" s="181"/>
      <c r="J199" s="181"/>
      <c r="K199" s="181"/>
      <c r="L199" s="181"/>
      <c r="M199" s="181"/>
    </row>
    <row r="200" spans="1:13" ht="15" x14ac:dyDescent="0.2">
      <c r="A200" s="1"/>
      <c r="B200" s="104"/>
      <c r="C200" s="9"/>
      <c r="D200" s="124"/>
      <c r="E200" s="14"/>
      <c r="F200" s="96"/>
      <c r="G200" s="96"/>
      <c r="H200" s="182"/>
      <c r="I200" s="182"/>
      <c r="J200" s="182"/>
      <c r="K200" s="182"/>
      <c r="L200" s="182"/>
      <c r="M200" s="182"/>
    </row>
    <row r="201" spans="1:13" ht="20" x14ac:dyDescent="0.2">
      <c r="A201" s="101" t="s">
        <v>0</v>
      </c>
      <c r="B201" s="3" t="s">
        <v>114</v>
      </c>
      <c r="C201" s="4"/>
      <c r="D201" s="183"/>
      <c r="E201" s="183"/>
      <c r="F201" s="6"/>
      <c r="G201" s="6"/>
      <c r="H201" s="6"/>
      <c r="I201" s="184"/>
      <c r="J201" s="185"/>
      <c r="K201" s="185"/>
      <c r="L201" s="185"/>
      <c r="M201" s="185"/>
    </row>
    <row r="202" spans="1:13" ht="20" outlineLevel="1" x14ac:dyDescent="0.2">
      <c r="A202" s="101"/>
      <c r="B202" s="8"/>
      <c r="C202" s="9"/>
      <c r="D202" s="10"/>
      <c r="E202" s="10"/>
      <c r="F202" s="11"/>
      <c r="G202" s="11"/>
      <c r="H202" s="11"/>
      <c r="I202" s="11"/>
      <c r="J202" s="11"/>
      <c r="K202" s="11"/>
      <c r="L202" s="11"/>
      <c r="M202" s="11"/>
    </row>
    <row r="203" spans="1:13" ht="21" outlineLevel="1" thickBot="1" x14ac:dyDescent="0.25">
      <c r="A203" s="101"/>
      <c r="B203" s="12" t="s">
        <v>2</v>
      </c>
      <c r="C203" s="9"/>
      <c r="D203" s="14"/>
      <c r="E203" s="14"/>
      <c r="F203" s="298">
        <f>F5</f>
        <v>2020</v>
      </c>
      <c r="G203" s="298">
        <f t="shared" ref="G203:H203" si="102">G5</f>
        <v>2021</v>
      </c>
      <c r="H203" s="298">
        <f t="shared" si="102"/>
        <v>2022</v>
      </c>
      <c r="I203" s="297">
        <f>I5</f>
        <v>2023</v>
      </c>
      <c r="J203" s="297">
        <f t="shared" ref="J203:M203" si="103">J5</f>
        <v>2024</v>
      </c>
      <c r="K203" s="297">
        <f t="shared" si="103"/>
        <v>2025</v>
      </c>
      <c r="L203" s="297">
        <f t="shared" si="103"/>
        <v>2026</v>
      </c>
      <c r="M203" s="297">
        <f t="shared" si="103"/>
        <v>2027</v>
      </c>
    </row>
    <row r="204" spans="1:13" ht="15" outlineLevel="1" x14ac:dyDescent="0.2">
      <c r="A204" s="1"/>
      <c r="B204" s="12" t="str">
        <f>B6</f>
        <v>Model Running : Base Case Drivers</v>
      </c>
      <c r="C204" s="9"/>
      <c r="D204" s="14"/>
      <c r="E204" s="14"/>
      <c r="F204" s="14"/>
      <c r="G204" s="14"/>
      <c r="H204" s="14"/>
      <c r="I204" s="103"/>
      <c r="J204" s="103"/>
      <c r="K204" s="103"/>
      <c r="L204" s="103"/>
      <c r="M204" s="103"/>
    </row>
    <row r="205" spans="1:13" ht="20" outlineLevel="1" x14ac:dyDescent="0.2">
      <c r="A205" s="101"/>
      <c r="B205" s="12"/>
      <c r="C205" s="9"/>
      <c r="D205" s="14"/>
      <c r="E205" s="14"/>
      <c r="F205" s="14"/>
      <c r="G205" s="14"/>
      <c r="H205" s="14"/>
      <c r="I205" s="101"/>
      <c r="J205" s="101"/>
      <c r="K205" s="101"/>
      <c r="L205" s="101"/>
      <c r="M205" s="101"/>
    </row>
    <row r="206" spans="1:13" ht="15" outlineLevel="1" x14ac:dyDescent="0.2">
      <c r="A206" s="1"/>
      <c r="B206" s="87" t="s">
        <v>25</v>
      </c>
      <c r="C206" s="19"/>
      <c r="D206" s="124"/>
      <c r="E206" s="19"/>
      <c r="F206" s="169">
        <f>F136</f>
        <v>365</v>
      </c>
      <c r="G206" s="159">
        <f t="shared" ref="G206:M206" si="104">G136</f>
        <v>365</v>
      </c>
      <c r="H206" s="159">
        <f t="shared" si="104"/>
        <v>365</v>
      </c>
      <c r="I206" s="159">
        <f t="shared" si="104"/>
        <v>365</v>
      </c>
      <c r="J206" s="159">
        <f t="shared" si="104"/>
        <v>365</v>
      </c>
      <c r="K206" s="159">
        <f t="shared" si="104"/>
        <v>365</v>
      </c>
      <c r="L206" s="159">
        <f t="shared" si="104"/>
        <v>365</v>
      </c>
      <c r="M206" s="170">
        <f t="shared" si="104"/>
        <v>365</v>
      </c>
    </row>
    <row r="207" spans="1:13" ht="15" outlineLevel="1" x14ac:dyDescent="0.2">
      <c r="A207" s="1"/>
      <c r="B207" s="87" t="s">
        <v>46</v>
      </c>
      <c r="C207" s="19"/>
      <c r="D207" s="19"/>
      <c r="E207" s="19"/>
      <c r="F207" s="186">
        <f>F11</f>
        <v>50589</v>
      </c>
      <c r="G207" s="152">
        <f t="shared" ref="G207:M207" si="105">G11</f>
        <v>51647.864999999998</v>
      </c>
      <c r="H207" s="152">
        <f>H11</f>
        <v>53760.85</v>
      </c>
      <c r="I207" s="152">
        <f>I11</f>
        <v>56481.149010000008</v>
      </c>
      <c r="J207" s="152">
        <f t="shared" si="105"/>
        <v>57616.420105101002</v>
      </c>
      <c r="K207" s="152">
        <f t="shared" si="105"/>
        <v>58774.510149213551</v>
      </c>
      <c r="L207" s="152">
        <f t="shared" si="105"/>
        <v>59659.066526959199</v>
      </c>
      <c r="M207" s="187">
        <f t="shared" si="105"/>
        <v>60257.148668891954</v>
      </c>
    </row>
    <row r="208" spans="1:13" ht="15" outlineLevel="1" x14ac:dyDescent="0.2">
      <c r="A208" s="1"/>
      <c r="B208" s="87" t="s">
        <v>47</v>
      </c>
      <c r="C208" s="19"/>
      <c r="D208" s="19"/>
      <c r="E208" s="19"/>
      <c r="F208" s="188">
        <f>-F12</f>
        <v>24544.3</v>
      </c>
      <c r="G208" s="158">
        <f t="shared" ref="G208:M208" si="106">-G12</f>
        <v>25104.0144</v>
      </c>
      <c r="H208" s="158">
        <f t="shared" si="106"/>
        <v>25779.4015</v>
      </c>
      <c r="I208" s="158">
        <f t="shared" si="106"/>
        <v>26798.04356355</v>
      </c>
      <c r="J208" s="158">
        <f t="shared" si="106"/>
        <v>27663.110360161067</v>
      </c>
      <c r="K208" s="158">
        <f t="shared" si="106"/>
        <v>28556.592517905559</v>
      </c>
      <c r="L208" s="158">
        <f t="shared" si="106"/>
        <v>29303.422507750336</v>
      </c>
      <c r="M208" s="189">
        <f t="shared" si="106"/>
        <v>30069.914817045261</v>
      </c>
    </row>
    <row r="209" spans="1:13" ht="15" outlineLevel="1" x14ac:dyDescent="0.2">
      <c r="A209" s="1"/>
      <c r="B209" s="1"/>
      <c r="C209" s="13"/>
      <c r="D209" s="19"/>
      <c r="E209" s="19"/>
      <c r="F209" s="19"/>
      <c r="G209" s="19"/>
      <c r="H209" s="19"/>
      <c r="I209" s="125"/>
      <c r="J209" s="125"/>
      <c r="K209" s="125"/>
      <c r="L209" s="125"/>
      <c r="M209" s="125"/>
    </row>
    <row r="210" spans="1:13" ht="15" outlineLevel="1" x14ac:dyDescent="0.2">
      <c r="A210" s="1"/>
      <c r="B210" s="1"/>
      <c r="C210" s="13"/>
      <c r="D210" s="19"/>
      <c r="E210" s="19"/>
      <c r="F210" s="19"/>
      <c r="G210" s="19"/>
      <c r="H210" s="19"/>
      <c r="I210" s="125"/>
      <c r="J210" s="125"/>
      <c r="K210" s="125"/>
      <c r="L210" s="125"/>
      <c r="M210" s="125"/>
    </row>
    <row r="211" spans="1:13" ht="15" outlineLevel="1" x14ac:dyDescent="0.2">
      <c r="A211" s="1"/>
      <c r="B211" s="18" t="s">
        <v>115</v>
      </c>
      <c r="C211" s="13"/>
      <c r="D211" s="19"/>
      <c r="E211" s="19"/>
      <c r="F211" s="19"/>
      <c r="G211" s="19"/>
      <c r="H211" s="19"/>
      <c r="I211" s="125"/>
      <c r="J211" s="125"/>
      <c r="K211" s="125"/>
      <c r="L211" s="125"/>
      <c r="M211" s="125"/>
    </row>
    <row r="212" spans="1:13" ht="15" outlineLevel="1" x14ac:dyDescent="0.2">
      <c r="A212" s="1"/>
      <c r="B212" s="87" t="s">
        <v>11</v>
      </c>
      <c r="C212" s="19"/>
      <c r="D212" s="124" t="s">
        <v>12</v>
      </c>
      <c r="E212" s="124"/>
      <c r="F212" s="152">
        <f>F218/F207*F$206</f>
        <v>41.18326118326118</v>
      </c>
      <c r="G212" s="152">
        <f>G218/G207*G$206</f>
        <v>44.755867449700006</v>
      </c>
      <c r="H212" s="152">
        <f t="shared" ref="G212:H212" si="107">H218/H207*H$206</f>
        <v>44.972503224930414</v>
      </c>
      <c r="I212" s="152">
        <f>Inputs!H39</f>
        <v>45</v>
      </c>
      <c r="J212" s="152">
        <f>Inputs!I39</f>
        <v>45</v>
      </c>
      <c r="K212" s="152">
        <f>Inputs!J39</f>
        <v>45</v>
      </c>
      <c r="L212" s="152">
        <f>Inputs!K39</f>
        <v>45</v>
      </c>
      <c r="M212" s="152">
        <f>Inputs!L39</f>
        <v>45</v>
      </c>
    </row>
    <row r="213" spans="1:13" ht="15" outlineLevel="1" x14ac:dyDescent="0.2">
      <c r="A213" s="1"/>
      <c r="B213" s="87" t="s">
        <v>13</v>
      </c>
      <c r="C213" s="19"/>
      <c r="D213" s="124" t="s">
        <v>12</v>
      </c>
      <c r="E213" s="124"/>
      <c r="F213" s="152">
        <f>F219/F208*F206</f>
        <v>26.648957191690126</v>
      </c>
      <c r="G213" s="152">
        <f t="shared" ref="G213:H213" si="108">G219/G208*G206</f>
        <v>27.959472489786332</v>
      </c>
      <c r="H213" s="152">
        <f t="shared" si="108"/>
        <v>28.444609158207186</v>
      </c>
      <c r="I213" s="152">
        <f>Inputs!H40</f>
        <v>25</v>
      </c>
      <c r="J213" s="152">
        <f>Inputs!I40</f>
        <v>25</v>
      </c>
      <c r="K213" s="152">
        <f>Inputs!J40</f>
        <v>25</v>
      </c>
      <c r="L213" s="152">
        <f>Inputs!K40</f>
        <v>25</v>
      </c>
      <c r="M213" s="152">
        <f>Inputs!L40</f>
        <v>25</v>
      </c>
    </row>
    <row r="214" spans="1:13" ht="15" outlineLevel="1" x14ac:dyDescent="0.2">
      <c r="A214" s="1"/>
      <c r="B214" s="87" t="s">
        <v>14</v>
      </c>
      <c r="C214" s="19"/>
      <c r="D214" s="124" t="s">
        <v>12</v>
      </c>
      <c r="E214" s="124"/>
      <c r="F214" s="152">
        <f>F220/F208*F206</f>
        <v>44.970115260977096</v>
      </c>
      <c r="G214" s="152">
        <f t="shared" ref="G214:H214" si="109">G220/G208*G206</f>
        <v>46.599120816310553</v>
      </c>
      <c r="H214" s="152">
        <f t="shared" si="109"/>
        <v>46.992363263359699</v>
      </c>
      <c r="I214" s="152">
        <f>Inputs!H41</f>
        <v>40</v>
      </c>
      <c r="J214" s="152">
        <f>Inputs!I41</f>
        <v>40</v>
      </c>
      <c r="K214" s="152">
        <f>Inputs!J41</f>
        <v>40</v>
      </c>
      <c r="L214" s="152">
        <f>Inputs!K41</f>
        <v>40</v>
      </c>
      <c r="M214" s="152">
        <f>Inputs!L41</f>
        <v>40</v>
      </c>
    </row>
    <row r="215" spans="1:13" ht="15" outlineLevel="1" x14ac:dyDescent="0.2">
      <c r="A215" s="1"/>
      <c r="B215" s="1"/>
      <c r="C215" s="19"/>
      <c r="D215" s="190"/>
      <c r="E215" s="190"/>
      <c r="F215" s="191"/>
      <c r="G215" s="192"/>
      <c r="H215" s="192"/>
      <c r="I215" s="139"/>
      <c r="J215" s="139"/>
      <c r="K215" s="139"/>
      <c r="L215" s="139"/>
      <c r="M215" s="139"/>
    </row>
    <row r="216" spans="1:13" ht="15" outlineLevel="1" x14ac:dyDescent="0.2">
      <c r="A216" s="1"/>
      <c r="B216" s="1"/>
      <c r="C216" s="19"/>
      <c r="D216" s="190"/>
      <c r="E216" s="190"/>
      <c r="F216" s="191"/>
      <c r="G216" s="192"/>
      <c r="H216" s="192"/>
      <c r="I216" s="139"/>
      <c r="J216" s="139"/>
      <c r="K216" s="139"/>
      <c r="L216" s="139"/>
      <c r="M216" s="139"/>
    </row>
    <row r="217" spans="1:13" ht="15" outlineLevel="1" x14ac:dyDescent="0.2">
      <c r="A217" s="1"/>
      <c r="B217" s="18" t="s">
        <v>116</v>
      </c>
      <c r="C217" s="13"/>
      <c r="D217" s="19"/>
      <c r="E217" s="19"/>
      <c r="F217" s="19"/>
      <c r="G217" s="19"/>
      <c r="H217" s="19"/>
      <c r="I217" s="125"/>
      <c r="J217" s="125"/>
      <c r="K217" s="125"/>
      <c r="L217" s="125"/>
      <c r="M217" s="125"/>
    </row>
    <row r="218" spans="1:13" ht="15" outlineLevel="1" x14ac:dyDescent="0.2">
      <c r="A218" s="1"/>
      <c r="B218" s="87" t="s">
        <v>11</v>
      </c>
      <c r="C218" s="19"/>
      <c r="D218" s="19"/>
      <c r="E218" s="19"/>
      <c r="F218" s="152">
        <f>F83</f>
        <v>5708</v>
      </c>
      <c r="G218" s="152">
        <f t="shared" ref="G218:M218" si="110">G83</f>
        <v>6333</v>
      </c>
      <c r="H218" s="152">
        <f>H83</f>
        <v>6624</v>
      </c>
      <c r="I218" s="152">
        <f>I207/I206*I212</f>
        <v>6963.4293300000008</v>
      </c>
      <c r="J218" s="152">
        <f t="shared" ref="J218:M218" si="111">J207/J206*J212</f>
        <v>7103.394259533</v>
      </c>
      <c r="K218" s="152">
        <f t="shared" si="111"/>
        <v>7246.1724841496161</v>
      </c>
      <c r="L218" s="152">
        <f t="shared" si="111"/>
        <v>7355.2273800360663</v>
      </c>
      <c r="M218" s="152">
        <f t="shared" si="111"/>
        <v>7428.9635345209254</v>
      </c>
    </row>
    <row r="219" spans="1:13" ht="15" outlineLevel="1" x14ac:dyDescent="0.2">
      <c r="A219" s="1"/>
      <c r="B219" s="87" t="s">
        <v>13</v>
      </c>
      <c r="C219" s="19"/>
      <c r="D219" s="19"/>
      <c r="E219" s="19"/>
      <c r="F219" s="152">
        <f>F84</f>
        <v>1792</v>
      </c>
      <c r="G219" s="152">
        <f t="shared" ref="G219:M219" si="112">G84</f>
        <v>1923</v>
      </c>
      <c r="H219" s="152">
        <f>H84</f>
        <v>2009</v>
      </c>
      <c r="I219" s="152">
        <f>I208/I206*I213</f>
        <v>1835.4824358595893</v>
      </c>
      <c r="J219" s="152">
        <f t="shared" ref="J219:M219" si="113">J208/J206*J213</f>
        <v>1894.7335863124017</v>
      </c>
      <c r="K219" s="152">
        <f t="shared" si="113"/>
        <v>1955.9309943770932</v>
      </c>
      <c r="L219" s="152">
        <f t="shared" si="113"/>
        <v>2007.0837334075572</v>
      </c>
      <c r="M219" s="152">
        <f t="shared" si="113"/>
        <v>2059.5832066469357</v>
      </c>
    </row>
    <row r="220" spans="1:13" ht="15" outlineLevel="1" x14ac:dyDescent="0.2">
      <c r="A220" s="1"/>
      <c r="B220" s="87" t="s">
        <v>14</v>
      </c>
      <c r="C220" s="19"/>
      <c r="D220" s="19"/>
      <c r="E220" s="19"/>
      <c r="F220" s="152">
        <f>F95</f>
        <v>3024</v>
      </c>
      <c r="G220" s="152">
        <f t="shared" ref="G220:M220" si="114">G95</f>
        <v>3205</v>
      </c>
      <c r="H220" s="152">
        <f t="shared" si="114"/>
        <v>3319</v>
      </c>
      <c r="I220" s="152">
        <f>I208/I206*I214</f>
        <v>2936.7718973753426</v>
      </c>
      <c r="J220" s="152">
        <f t="shared" ref="J220:M220" si="115">J208/J206*J214</f>
        <v>3031.5737380998426</v>
      </c>
      <c r="K220" s="152">
        <f t="shared" si="115"/>
        <v>3129.4895910033488</v>
      </c>
      <c r="L220" s="152">
        <f t="shared" si="115"/>
        <v>3211.3339734520919</v>
      </c>
      <c r="M220" s="152">
        <f t="shared" si="115"/>
        <v>3295.3331306350969</v>
      </c>
    </row>
    <row r="221" spans="1:13" ht="15" outlineLevel="1" x14ac:dyDescent="0.2">
      <c r="A221" s="1"/>
      <c r="B221" s="1"/>
      <c r="C221" s="13"/>
      <c r="D221" s="19"/>
      <c r="E221" s="19"/>
      <c r="F221" s="19"/>
      <c r="G221" s="19"/>
      <c r="H221" s="19"/>
      <c r="I221" s="125"/>
      <c r="J221" s="125"/>
      <c r="K221" s="125"/>
      <c r="L221" s="125"/>
      <c r="M221" s="125"/>
    </row>
    <row r="222" spans="1:13" ht="15" outlineLevel="1" x14ac:dyDescent="0.2">
      <c r="A222" s="1"/>
      <c r="B222" s="154"/>
      <c r="C222" s="121"/>
      <c r="D222" s="122"/>
      <c r="E222" s="122"/>
      <c r="F222" s="122"/>
      <c r="G222" s="122"/>
      <c r="H222" s="122"/>
      <c r="I222" s="177"/>
      <c r="J222" s="177"/>
      <c r="K222" s="177"/>
      <c r="L222" s="177"/>
      <c r="M222" s="177"/>
    </row>
    <row r="223" spans="1:13" ht="15" outlineLevel="1" x14ac:dyDescent="0.2">
      <c r="A223" s="1"/>
      <c r="B223" s="1"/>
      <c r="C223" s="13"/>
      <c r="D223" s="19"/>
      <c r="E223" s="19"/>
      <c r="F223" s="19"/>
      <c r="G223" s="19"/>
      <c r="H223" s="19"/>
      <c r="I223" s="125"/>
      <c r="J223" s="125"/>
      <c r="K223" s="125"/>
      <c r="L223" s="125"/>
      <c r="M223" s="125"/>
    </row>
    <row r="224" spans="1:13" ht="15" outlineLevel="1" x14ac:dyDescent="0.2">
      <c r="A224" s="1"/>
      <c r="B224" s="1"/>
      <c r="C224" s="13"/>
      <c r="D224" s="19"/>
      <c r="E224" s="19"/>
      <c r="F224" s="19"/>
      <c r="G224" s="19"/>
      <c r="H224" s="19"/>
      <c r="I224" s="125"/>
      <c r="J224" s="125"/>
      <c r="K224" s="125"/>
      <c r="L224" s="125"/>
      <c r="M224" s="125"/>
    </row>
    <row r="225" spans="1:13" ht="15" outlineLevel="1" x14ac:dyDescent="0.2">
      <c r="A225" s="1"/>
      <c r="B225" s="18" t="s">
        <v>117</v>
      </c>
      <c r="C225" s="13"/>
      <c r="D225" s="19"/>
      <c r="E225" s="19"/>
      <c r="F225" s="19"/>
      <c r="G225" s="19"/>
      <c r="H225" s="19"/>
      <c r="I225" s="125"/>
      <c r="J225" s="125"/>
      <c r="K225" s="125"/>
      <c r="L225" s="125"/>
      <c r="M225" s="125"/>
    </row>
    <row r="226" spans="1:13" ht="15" outlineLevel="1" x14ac:dyDescent="0.2">
      <c r="A226" s="1"/>
      <c r="B226" s="87" t="s">
        <v>11</v>
      </c>
      <c r="C226" s="19"/>
      <c r="D226" s="19"/>
      <c r="E226" s="19"/>
      <c r="F226" s="152"/>
      <c r="G226" s="152">
        <f>F218-G218</f>
        <v>-625</v>
      </c>
      <c r="H226" s="152">
        <f t="shared" ref="H226:M226" si="116">G218-H218</f>
        <v>-291</v>
      </c>
      <c r="I226" s="152">
        <f t="shared" si="116"/>
        <v>-339.42933000000085</v>
      </c>
      <c r="J226" s="152">
        <f t="shared" si="116"/>
        <v>-139.96492953299912</v>
      </c>
      <c r="K226" s="152">
        <f t="shared" si="116"/>
        <v>-142.77822461661617</v>
      </c>
      <c r="L226" s="152">
        <f t="shared" si="116"/>
        <v>-109.05489588645014</v>
      </c>
      <c r="M226" s="152">
        <f t="shared" si="116"/>
        <v>-73.736154484859071</v>
      </c>
    </row>
    <row r="227" spans="1:13" ht="15" outlineLevel="1" x14ac:dyDescent="0.2">
      <c r="A227" s="1"/>
      <c r="B227" s="87" t="s">
        <v>13</v>
      </c>
      <c r="C227" s="19"/>
      <c r="D227" s="19"/>
      <c r="E227" s="19"/>
      <c r="F227" s="152"/>
      <c r="G227" s="152">
        <f>F219-G219</f>
        <v>-131</v>
      </c>
      <c r="H227" s="152">
        <f t="shared" ref="H227:M227" si="117">G219-H219</f>
        <v>-86</v>
      </c>
      <c r="I227" s="152">
        <f t="shared" si="117"/>
        <v>173.51756414041074</v>
      </c>
      <c r="J227" s="152">
        <f t="shared" si="117"/>
        <v>-59.251150452812453</v>
      </c>
      <c r="K227" s="152">
        <f t="shared" si="117"/>
        <v>-61.197408064691444</v>
      </c>
      <c r="L227" s="152">
        <f t="shared" si="117"/>
        <v>-51.15273903046409</v>
      </c>
      <c r="M227" s="152">
        <f t="shared" si="117"/>
        <v>-52.499473239378403</v>
      </c>
    </row>
    <row r="228" spans="1:13" ht="15" outlineLevel="1" x14ac:dyDescent="0.2">
      <c r="A228" s="1"/>
      <c r="B228" s="87" t="s">
        <v>14</v>
      </c>
      <c r="C228" s="19"/>
      <c r="D228" s="19"/>
      <c r="E228" s="19"/>
      <c r="F228" s="152"/>
      <c r="G228" s="152">
        <f>G220-F220</f>
        <v>181</v>
      </c>
      <c r="H228" s="152">
        <f t="shared" ref="H228:M228" si="118">H220-G220</f>
        <v>114</v>
      </c>
      <c r="I228" s="152">
        <f t="shared" si="118"/>
        <v>-382.22810262465737</v>
      </c>
      <c r="J228" s="152">
        <f t="shared" si="118"/>
        <v>94.801840724499925</v>
      </c>
      <c r="K228" s="152">
        <f t="shared" si="118"/>
        <v>97.91585290350622</v>
      </c>
      <c r="L228" s="152">
        <f t="shared" si="118"/>
        <v>81.84438244874309</v>
      </c>
      <c r="M228" s="152">
        <f t="shared" si="118"/>
        <v>83.999157183005082</v>
      </c>
    </row>
    <row r="229" spans="1:13" ht="16" outlineLevel="1" thickBot="1" x14ac:dyDescent="0.25">
      <c r="A229" s="1"/>
      <c r="B229" s="87" t="s">
        <v>118</v>
      </c>
      <c r="C229" s="13"/>
      <c r="D229" s="13"/>
      <c r="E229" s="13"/>
      <c r="F229" s="13"/>
      <c r="G229" s="165">
        <f>SUM(G226:G228)</f>
        <v>-575</v>
      </c>
      <c r="H229" s="165">
        <f t="shared" ref="H229:M229" si="119">SUM(H226:H228)</f>
        <v>-263</v>
      </c>
      <c r="I229" s="165">
        <f t="shared" si="119"/>
        <v>-548.13986848424747</v>
      </c>
      <c r="J229" s="165">
        <f t="shared" si="119"/>
        <v>-104.41423926131165</v>
      </c>
      <c r="K229" s="165">
        <f t="shared" si="119"/>
        <v>-106.0597797778014</v>
      </c>
      <c r="L229" s="165">
        <f t="shared" si="119"/>
        <v>-78.36325246817114</v>
      </c>
      <c r="M229" s="165">
        <f t="shared" si="119"/>
        <v>-42.236470541232393</v>
      </c>
    </row>
    <row r="230" spans="1:13" ht="15" outlineLevel="1" x14ac:dyDescent="0.2">
      <c r="A230" s="1"/>
      <c r="B230" s="1"/>
      <c r="C230" s="13"/>
      <c r="D230" s="19"/>
      <c r="E230" s="19"/>
      <c r="F230" s="19"/>
      <c r="G230" s="19"/>
      <c r="H230" s="19"/>
      <c r="I230" s="125"/>
      <c r="J230" s="125"/>
      <c r="K230" s="125"/>
      <c r="L230" s="125"/>
      <c r="M230" s="125"/>
    </row>
    <row r="231" spans="1:13" ht="20" outlineLevel="1" x14ac:dyDescent="0.2">
      <c r="A231" s="101"/>
      <c r="B231" s="101"/>
      <c r="C231" s="9"/>
      <c r="D231" s="14"/>
      <c r="E231" s="14"/>
      <c r="F231" s="14"/>
      <c r="G231" s="14"/>
      <c r="H231" s="14"/>
      <c r="I231" s="103"/>
      <c r="J231" s="103"/>
      <c r="K231" s="103"/>
      <c r="L231" s="101"/>
      <c r="M231" s="193"/>
    </row>
    <row r="232" spans="1:13" ht="15" outlineLevel="1" x14ac:dyDescent="0.2">
      <c r="A232" s="1"/>
      <c r="B232" s="19"/>
      <c r="C232" s="19"/>
      <c r="D232" s="125"/>
      <c r="E232" s="125"/>
      <c r="F232" s="125"/>
      <c r="G232" s="125"/>
      <c r="H232" s="125"/>
      <c r="I232" s="125"/>
      <c r="J232" s="125"/>
      <c r="K232" s="125"/>
      <c r="L232" s="125"/>
      <c r="M232" s="19"/>
    </row>
    <row r="233" spans="1:13" ht="15" outlineLevel="1" x14ac:dyDescent="0.2">
      <c r="A233" s="1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</row>
    <row r="234" spans="1:13" ht="15" x14ac:dyDescent="0.2">
      <c r="A234" s="1"/>
      <c r="B234" s="104"/>
      <c r="C234" s="19"/>
      <c r="D234" s="124"/>
      <c r="E234" s="19"/>
      <c r="F234" s="125"/>
      <c r="G234" s="125"/>
      <c r="H234" s="125"/>
      <c r="I234" s="125"/>
      <c r="J234" s="125"/>
      <c r="K234" s="125"/>
      <c r="L234" s="125"/>
      <c r="M234" s="125"/>
    </row>
    <row r="235" spans="1:13" ht="20" x14ac:dyDescent="0.2">
      <c r="A235" s="101" t="s">
        <v>0</v>
      </c>
      <c r="B235" s="3" t="s">
        <v>119</v>
      </c>
      <c r="C235" s="4"/>
      <c r="D235" s="183"/>
      <c r="E235" s="183"/>
      <c r="F235" s="6"/>
      <c r="G235" s="6"/>
      <c r="H235" s="6"/>
      <c r="I235" s="184"/>
      <c r="J235" s="185"/>
      <c r="K235" s="185"/>
      <c r="L235" s="185"/>
      <c r="M235" s="185"/>
    </row>
    <row r="236" spans="1:13" ht="20" outlineLevel="1" x14ac:dyDescent="0.2">
      <c r="A236" s="101"/>
      <c r="B236" s="12" t="s">
        <v>2</v>
      </c>
      <c r="C236" s="9"/>
      <c r="D236" s="10"/>
      <c r="E236" s="10"/>
      <c r="F236" s="11"/>
      <c r="G236" s="11"/>
      <c r="H236" s="11"/>
      <c r="I236" s="11"/>
      <c r="J236" s="11"/>
      <c r="K236" s="11"/>
      <c r="L236" s="11"/>
      <c r="M236" s="11"/>
    </row>
    <row r="237" spans="1:13" ht="21" outlineLevel="1" thickBot="1" x14ac:dyDescent="0.25">
      <c r="A237" s="101"/>
      <c r="B237" s="12" t="str">
        <f>B6</f>
        <v>Model Running : Base Case Drivers</v>
      </c>
      <c r="C237" s="9"/>
      <c r="D237" s="14"/>
      <c r="E237" s="14"/>
      <c r="F237" s="14"/>
      <c r="G237" s="14"/>
      <c r="H237" s="14">
        <f t="shared" ref="G237:H237" si="120">H5</f>
        <v>2022</v>
      </c>
      <c r="I237" s="297">
        <f>I5</f>
        <v>2023</v>
      </c>
      <c r="J237" s="297">
        <f t="shared" ref="J237:M237" si="121">J5</f>
        <v>2024</v>
      </c>
      <c r="K237" s="297">
        <f t="shared" si="121"/>
        <v>2025</v>
      </c>
      <c r="L237" s="297">
        <f t="shared" si="121"/>
        <v>2026</v>
      </c>
      <c r="M237" s="297">
        <f t="shared" si="121"/>
        <v>2027</v>
      </c>
    </row>
    <row r="238" spans="1:13" ht="15" outlineLevel="1" x14ac:dyDescent="0.2">
      <c r="A238" s="1"/>
      <c r="B238" s="12"/>
      <c r="C238" s="9"/>
      <c r="D238" s="14"/>
      <c r="E238" s="14"/>
      <c r="F238" s="14"/>
      <c r="G238" s="14"/>
      <c r="H238" s="299"/>
      <c r="I238" s="103"/>
      <c r="J238" s="103"/>
      <c r="K238" s="103"/>
      <c r="L238" s="103"/>
      <c r="M238" s="103"/>
    </row>
    <row r="239" spans="1:13" ht="20" outlineLevel="1" x14ac:dyDescent="0.2">
      <c r="A239" s="101"/>
      <c r="B239" s="12"/>
      <c r="C239" s="9"/>
      <c r="D239" s="14"/>
      <c r="E239" s="14"/>
      <c r="F239" s="14"/>
      <c r="G239" s="14"/>
      <c r="H239" s="194"/>
      <c r="I239" s="194"/>
      <c r="J239" s="194"/>
      <c r="K239" s="194"/>
      <c r="L239" s="194"/>
      <c r="M239" s="194"/>
    </row>
    <row r="240" spans="1:13" ht="20" outlineLevel="1" x14ac:dyDescent="0.2">
      <c r="A240" s="101"/>
      <c r="B240" s="195" t="s">
        <v>9</v>
      </c>
      <c r="C240" s="9"/>
      <c r="D240" s="14"/>
      <c r="E240" s="14"/>
      <c r="F240" s="96"/>
      <c r="G240" s="96"/>
      <c r="H240" s="96"/>
      <c r="I240" s="196">
        <f>Inputs!H24</f>
        <v>25475</v>
      </c>
      <c r="J240" s="197">
        <f>Inputs!I24</f>
        <v>7050</v>
      </c>
      <c r="K240" s="197">
        <f>Inputs!J24</f>
        <v>7275</v>
      </c>
      <c r="L240" s="197">
        <f>Inputs!K24</f>
        <v>7200</v>
      </c>
      <c r="M240" s="198">
        <f>Inputs!L24</f>
        <v>7687.5</v>
      </c>
    </row>
    <row r="241" spans="1:13" ht="20" outlineLevel="1" x14ac:dyDescent="0.2">
      <c r="A241" s="101"/>
      <c r="B241" s="199"/>
      <c r="C241" s="9"/>
      <c r="D241" s="14"/>
      <c r="E241" s="14"/>
      <c r="F241" s="96"/>
      <c r="G241" s="96"/>
      <c r="H241" s="96"/>
      <c r="I241" s="152"/>
      <c r="J241" s="152"/>
      <c r="K241" s="152"/>
      <c r="L241" s="152"/>
      <c r="M241" s="152"/>
    </row>
    <row r="242" spans="1:13" ht="20" outlineLevel="1" x14ac:dyDescent="0.2">
      <c r="A242" s="101"/>
      <c r="B242" s="12"/>
      <c r="C242" s="9"/>
      <c r="D242" s="14"/>
      <c r="E242" s="14"/>
      <c r="F242" s="14"/>
      <c r="G242" s="14"/>
      <c r="H242" s="14"/>
      <c r="I242" s="103"/>
      <c r="J242" s="103"/>
      <c r="K242" s="103"/>
      <c r="L242" s="103"/>
      <c r="M242" s="103"/>
    </row>
    <row r="243" spans="1:13" ht="20" outlineLevel="1" x14ac:dyDescent="0.2">
      <c r="A243" s="101"/>
      <c r="B243" s="200" t="s">
        <v>120</v>
      </c>
      <c r="C243" s="101"/>
      <c r="D243" s="201"/>
      <c r="E243" s="14"/>
      <c r="F243" s="14"/>
      <c r="G243" s="14"/>
      <c r="H243" s="14"/>
      <c r="I243" s="202" t="s">
        <v>121</v>
      </c>
      <c r="J243" s="203"/>
      <c r="K243" s="203"/>
      <c r="L243" s="203"/>
      <c r="M243" s="204"/>
    </row>
    <row r="244" spans="1:13" ht="20" outlineLevel="1" x14ac:dyDescent="0.2">
      <c r="A244" s="101"/>
      <c r="B244" s="205" t="s">
        <v>122</v>
      </c>
      <c r="C244" s="206" t="s">
        <v>41</v>
      </c>
      <c r="D244" s="207">
        <f>Inputs!L63</f>
        <v>16</v>
      </c>
      <c r="E244" s="14"/>
      <c r="F244" s="208"/>
      <c r="G244" s="14"/>
      <c r="H244" s="14"/>
      <c r="I244" s="209">
        <v>1</v>
      </c>
      <c r="J244" s="209">
        <v>2</v>
      </c>
      <c r="K244" s="209">
        <v>3</v>
      </c>
      <c r="L244" s="209">
        <v>4</v>
      </c>
      <c r="M244" s="209">
        <v>5</v>
      </c>
    </row>
    <row r="245" spans="1:13" ht="20" outlineLevel="1" x14ac:dyDescent="0.2">
      <c r="A245" s="101"/>
      <c r="B245" s="210" t="s">
        <v>123</v>
      </c>
      <c r="C245" s="156" t="str">
        <f>CONCATENATE( "End of : ",H237)</f>
        <v>End of : 2022</v>
      </c>
      <c r="D245" s="211">
        <f>Model!H87</f>
        <v>75407</v>
      </c>
      <c r="E245" s="14"/>
      <c r="F245" s="208"/>
      <c r="G245" s="14"/>
      <c r="H245" s="212"/>
      <c r="I245" s="213">
        <f>MIN($D244-SUM($H245:H245),1)</f>
        <v>1</v>
      </c>
      <c r="J245" s="213">
        <f>MIN($D244-SUM($H245:I245),1)</f>
        <v>1</v>
      </c>
      <c r="K245" s="213">
        <f>MIN($D244-SUM($H245:J245),1)</f>
        <v>1</v>
      </c>
      <c r="L245" s="213">
        <f>MIN($D244-SUM($H245:K245),1)</f>
        <v>1</v>
      </c>
      <c r="M245" s="214">
        <f>MIN($D244-SUM($H245:L245),1)</f>
        <v>1</v>
      </c>
    </row>
    <row r="246" spans="1:13" ht="20" outlineLevel="1" x14ac:dyDescent="0.2">
      <c r="A246" s="101"/>
      <c r="B246" s="104"/>
      <c r="C246" s="101"/>
      <c r="D246" s="215"/>
      <c r="E246" s="14"/>
      <c r="F246" s="14"/>
      <c r="G246" s="14"/>
      <c r="H246" s="14"/>
      <c r="I246" s="216"/>
      <c r="J246" s="216"/>
      <c r="K246" s="216"/>
      <c r="L246" s="216"/>
      <c r="M246" s="216"/>
    </row>
    <row r="247" spans="1:13" ht="20" outlineLevel="1" x14ac:dyDescent="0.2">
      <c r="A247" s="101"/>
      <c r="B247" s="104"/>
      <c r="C247" s="101"/>
      <c r="D247" s="101"/>
      <c r="E247" s="14"/>
      <c r="F247" s="14"/>
      <c r="G247" s="14"/>
      <c r="H247" s="14"/>
      <c r="I247" s="216"/>
      <c r="J247" s="216"/>
      <c r="K247" s="216"/>
      <c r="L247" s="216"/>
      <c r="M247" s="216"/>
    </row>
    <row r="248" spans="1:13" ht="20" outlineLevel="1" x14ac:dyDescent="0.2">
      <c r="A248" s="101"/>
      <c r="B248" s="12"/>
      <c r="C248" s="101"/>
      <c r="D248" s="9"/>
      <c r="E248" s="14"/>
      <c r="F248" s="14"/>
      <c r="G248" s="14"/>
      <c r="H248" s="14"/>
      <c r="I248" s="202" t="s">
        <v>121</v>
      </c>
      <c r="J248" s="203"/>
      <c r="K248" s="203"/>
      <c r="L248" s="203"/>
      <c r="M248" s="204"/>
    </row>
    <row r="249" spans="1:13" ht="20" outlineLevel="1" x14ac:dyDescent="0.2">
      <c r="A249" s="101"/>
      <c r="B249" s="200"/>
      <c r="C249" s="101"/>
      <c r="D249" s="201"/>
      <c r="E249" s="101"/>
      <c r="F249" s="18" t="s">
        <v>124</v>
      </c>
      <c r="G249" s="18" t="s">
        <v>125</v>
      </c>
      <c r="H249" s="14"/>
      <c r="I249" s="217">
        <f>I237</f>
        <v>2023</v>
      </c>
      <c r="J249" s="217">
        <f t="shared" ref="J249:M249" si="122">J237</f>
        <v>2024</v>
      </c>
      <c r="K249" s="217">
        <f t="shared" si="122"/>
        <v>2025</v>
      </c>
      <c r="L249" s="217">
        <f t="shared" si="122"/>
        <v>2026</v>
      </c>
      <c r="M249" s="217">
        <f t="shared" si="122"/>
        <v>2027</v>
      </c>
    </row>
    <row r="250" spans="1:13" ht="20" outlineLevel="1" x14ac:dyDescent="0.2">
      <c r="A250" s="101"/>
      <c r="B250" s="205" t="s">
        <v>122</v>
      </c>
      <c r="C250" s="206" t="s">
        <v>41</v>
      </c>
      <c r="D250" s="207">
        <f>Inputs!L64</f>
        <v>20</v>
      </c>
      <c r="E250" s="101"/>
      <c r="F250" s="218">
        <f>I237</f>
        <v>2023</v>
      </c>
      <c r="G250" s="219">
        <f>$D$250</f>
        <v>20</v>
      </c>
      <c r="H250" s="220"/>
      <c r="I250" s="221">
        <f>IF(H250="",$D$251,MIN($D250-SUM($H250:H250),1))</f>
        <v>0.5</v>
      </c>
      <c r="J250" s="221">
        <f>IF(I250="",$D$251,MIN($D250-SUM($H250:I250),1))</f>
        <v>1</v>
      </c>
      <c r="K250" s="221">
        <f>IF(J250="",$D$251,MIN($D250-SUM($H250:J250),1))</f>
        <v>1</v>
      </c>
      <c r="L250" s="221">
        <f>IF(K250="",$D$251,MIN($D250-SUM($H250:K250),1))</f>
        <v>1</v>
      </c>
      <c r="M250" s="222">
        <f>IF(L250="",$D$251,MIN($D250-SUM($H250:L250),1))</f>
        <v>1</v>
      </c>
    </row>
    <row r="251" spans="1:13" ht="20" outlineLevel="1" x14ac:dyDescent="0.2">
      <c r="A251" s="101"/>
      <c r="B251" s="210" t="s">
        <v>126</v>
      </c>
      <c r="C251" s="156"/>
      <c r="D251" s="223">
        <f>Inputs!L62</f>
        <v>0.5</v>
      </c>
      <c r="E251" s="101"/>
      <c r="F251" s="224">
        <f>F250+1</f>
        <v>2024</v>
      </c>
      <c r="G251" s="225">
        <f t="shared" ref="G251:G254" si="123">$D$250</f>
        <v>20</v>
      </c>
      <c r="H251" s="226"/>
      <c r="I251" s="216"/>
      <c r="J251" s="216">
        <f>I250</f>
        <v>0.5</v>
      </c>
      <c r="K251" s="216">
        <f t="shared" ref="K251:M253" si="124">J250</f>
        <v>1</v>
      </c>
      <c r="L251" s="216">
        <f t="shared" si="124"/>
        <v>1</v>
      </c>
      <c r="M251" s="227">
        <f t="shared" si="124"/>
        <v>1</v>
      </c>
    </row>
    <row r="252" spans="1:13" ht="20" outlineLevel="1" x14ac:dyDescent="0.2">
      <c r="A252" s="101"/>
      <c r="B252" s="12"/>
      <c r="C252" s="101"/>
      <c r="D252" s="18"/>
      <c r="E252" s="101"/>
      <c r="F252" s="224">
        <f t="shared" ref="F252:F254" si="125">F251+1</f>
        <v>2025</v>
      </c>
      <c r="G252" s="225">
        <f t="shared" si="123"/>
        <v>20</v>
      </c>
      <c r="H252" s="226"/>
      <c r="I252" s="216"/>
      <c r="J252" s="216"/>
      <c r="K252" s="216">
        <f>J251</f>
        <v>0.5</v>
      </c>
      <c r="L252" s="216">
        <f t="shared" si="124"/>
        <v>1</v>
      </c>
      <c r="M252" s="227">
        <f t="shared" si="124"/>
        <v>1</v>
      </c>
    </row>
    <row r="253" spans="1:13" ht="20" outlineLevel="1" x14ac:dyDescent="0.2">
      <c r="A253" s="101"/>
      <c r="B253" s="12"/>
      <c r="C253" s="101"/>
      <c r="D253" s="18"/>
      <c r="E253" s="101"/>
      <c r="F253" s="224">
        <f t="shared" si="125"/>
        <v>2026</v>
      </c>
      <c r="G253" s="225">
        <f t="shared" si="123"/>
        <v>20</v>
      </c>
      <c r="H253" s="226"/>
      <c r="I253" s="216"/>
      <c r="J253" s="216"/>
      <c r="K253" s="216"/>
      <c r="L253" s="216">
        <f>K252</f>
        <v>0.5</v>
      </c>
      <c r="M253" s="227">
        <f t="shared" si="124"/>
        <v>1</v>
      </c>
    </row>
    <row r="254" spans="1:13" ht="20" outlineLevel="1" x14ac:dyDescent="0.2">
      <c r="A254" s="101"/>
      <c r="B254" s="12"/>
      <c r="C254" s="101"/>
      <c r="D254" s="18"/>
      <c r="E254" s="101"/>
      <c r="F254" s="228">
        <f t="shared" si="125"/>
        <v>2027</v>
      </c>
      <c r="G254" s="229">
        <f t="shared" si="123"/>
        <v>20</v>
      </c>
      <c r="H254" s="230"/>
      <c r="I254" s="231"/>
      <c r="J254" s="231"/>
      <c r="K254" s="231"/>
      <c r="L254" s="231"/>
      <c r="M254" s="223">
        <f>L253</f>
        <v>0.5</v>
      </c>
    </row>
    <row r="255" spans="1:13" ht="20" outlineLevel="1" x14ac:dyDescent="0.2">
      <c r="A255" s="101"/>
      <c r="B255" s="12"/>
      <c r="C255" s="9"/>
      <c r="D255" s="18"/>
      <c r="E255" s="14"/>
      <c r="F255" s="14"/>
      <c r="G255" s="14"/>
      <c r="H255" s="14"/>
      <c r="I255" s="103"/>
      <c r="J255" s="103"/>
      <c r="K255" s="103"/>
      <c r="L255" s="103"/>
      <c r="M255" s="103"/>
    </row>
    <row r="256" spans="1:13" ht="20" outlineLevel="1" x14ac:dyDescent="0.2">
      <c r="A256" s="101"/>
      <c r="B256" s="12"/>
      <c r="C256" s="9"/>
      <c r="D256" s="18"/>
      <c r="E256" s="14"/>
      <c r="F256" s="14"/>
      <c r="G256" s="14"/>
      <c r="H256" s="14"/>
      <c r="I256" s="103"/>
      <c r="J256" s="103"/>
      <c r="K256" s="103"/>
      <c r="L256" s="103"/>
      <c r="M256" s="103"/>
    </row>
    <row r="257" spans="1:13" ht="20" outlineLevel="1" x14ac:dyDescent="0.2">
      <c r="A257" s="101"/>
      <c r="B257" s="12"/>
      <c r="C257" s="9"/>
      <c r="D257" s="14"/>
      <c r="E257" s="14"/>
      <c r="F257" s="14"/>
      <c r="G257" s="14"/>
      <c r="H257" s="14"/>
      <c r="I257" s="202" t="s">
        <v>127</v>
      </c>
      <c r="J257" s="203"/>
      <c r="K257" s="203"/>
      <c r="L257" s="203"/>
      <c r="M257" s="204"/>
    </row>
    <row r="258" spans="1:13" ht="20" outlineLevel="1" x14ac:dyDescent="0.2">
      <c r="A258" s="101"/>
      <c r="B258" s="101"/>
      <c r="C258" s="101"/>
      <c r="D258" s="101"/>
      <c r="E258" s="14"/>
      <c r="F258" s="18" t="s">
        <v>124</v>
      </c>
      <c r="G258" s="18" t="s">
        <v>128</v>
      </c>
      <c r="H258" s="18" t="s">
        <v>129</v>
      </c>
      <c r="I258" s="217">
        <f>I237</f>
        <v>2023</v>
      </c>
      <c r="J258" s="217">
        <f t="shared" ref="J258:M258" si="126">J237</f>
        <v>2024</v>
      </c>
      <c r="K258" s="217">
        <f t="shared" si="126"/>
        <v>2025</v>
      </c>
      <c r="L258" s="217">
        <f t="shared" si="126"/>
        <v>2026</v>
      </c>
      <c r="M258" s="217">
        <f t="shared" si="126"/>
        <v>2027</v>
      </c>
    </row>
    <row r="259" spans="1:13" ht="20" outlineLevel="1" x14ac:dyDescent="0.2">
      <c r="A259" s="101"/>
      <c r="B259" s="12"/>
      <c r="C259" s="101"/>
      <c r="D259" s="101"/>
      <c r="E259" s="14"/>
      <c r="F259" s="218">
        <f>F250</f>
        <v>2023</v>
      </c>
      <c r="G259" s="232">
        <f>_xlfn.XLOOKUP(F259,$I$237:$M$237,$I$240:$M$240)</f>
        <v>25475</v>
      </c>
      <c r="H259" s="233">
        <f>G259/G250</f>
        <v>1273.75</v>
      </c>
      <c r="I259" s="234">
        <f>$H259*I250</f>
        <v>636.875</v>
      </c>
      <c r="J259" s="234">
        <f t="shared" ref="J259:M259" si="127">$H259*J250</f>
        <v>1273.75</v>
      </c>
      <c r="K259" s="234">
        <f t="shared" si="127"/>
        <v>1273.75</v>
      </c>
      <c r="L259" s="234">
        <f t="shared" si="127"/>
        <v>1273.75</v>
      </c>
      <c r="M259" s="235">
        <f t="shared" si="127"/>
        <v>1273.75</v>
      </c>
    </row>
    <row r="260" spans="1:13" ht="20" outlineLevel="1" x14ac:dyDescent="0.2">
      <c r="A260" s="101"/>
      <c r="B260" s="12"/>
      <c r="C260" s="101"/>
      <c r="D260" s="101"/>
      <c r="E260" s="14"/>
      <c r="F260" s="224">
        <f t="shared" ref="F260:F263" si="128">F251</f>
        <v>2024</v>
      </c>
      <c r="G260" s="236">
        <f t="shared" ref="G260:G263" si="129">_xlfn.XLOOKUP(F260,$I$237:$M$237,$I$240:$M$240)</f>
        <v>7050</v>
      </c>
      <c r="H260" s="237">
        <f t="shared" ref="H260:H263" si="130">G260/G251</f>
        <v>352.5</v>
      </c>
      <c r="I260" s="117">
        <f t="shared" ref="I260:M260" si="131">$H260*I251</f>
        <v>0</v>
      </c>
      <c r="J260" s="117">
        <f t="shared" si="131"/>
        <v>176.25</v>
      </c>
      <c r="K260" s="117">
        <f t="shared" si="131"/>
        <v>352.5</v>
      </c>
      <c r="L260" s="117">
        <f t="shared" si="131"/>
        <v>352.5</v>
      </c>
      <c r="M260" s="238">
        <f t="shared" si="131"/>
        <v>352.5</v>
      </c>
    </row>
    <row r="261" spans="1:13" ht="20" outlineLevel="1" x14ac:dyDescent="0.2">
      <c r="A261" s="101"/>
      <c r="B261" s="12"/>
      <c r="C261" s="101"/>
      <c r="D261" s="101"/>
      <c r="E261" s="14"/>
      <c r="F261" s="224">
        <f t="shared" si="128"/>
        <v>2025</v>
      </c>
      <c r="G261" s="236">
        <f t="shared" si="129"/>
        <v>7275</v>
      </c>
      <c r="H261" s="237">
        <f t="shared" si="130"/>
        <v>363.75</v>
      </c>
      <c r="I261" s="117">
        <f t="shared" ref="I261:M261" si="132">$H261*I252</f>
        <v>0</v>
      </c>
      <c r="J261" s="117">
        <f t="shared" si="132"/>
        <v>0</v>
      </c>
      <c r="K261" s="117">
        <f t="shared" si="132"/>
        <v>181.875</v>
      </c>
      <c r="L261" s="117">
        <f t="shared" si="132"/>
        <v>363.75</v>
      </c>
      <c r="M261" s="238">
        <f t="shared" si="132"/>
        <v>363.75</v>
      </c>
    </row>
    <row r="262" spans="1:13" ht="20" outlineLevel="1" x14ac:dyDescent="0.2">
      <c r="A262" s="101"/>
      <c r="B262" s="12"/>
      <c r="C262" s="101"/>
      <c r="D262" s="101"/>
      <c r="E262" s="14"/>
      <c r="F262" s="224">
        <f t="shared" si="128"/>
        <v>2026</v>
      </c>
      <c r="G262" s="236">
        <f t="shared" si="129"/>
        <v>7200</v>
      </c>
      <c r="H262" s="237">
        <f t="shared" si="130"/>
        <v>360</v>
      </c>
      <c r="I262" s="117">
        <f t="shared" ref="I262:M262" si="133">$H262*I253</f>
        <v>0</v>
      </c>
      <c r="J262" s="117">
        <f t="shared" si="133"/>
        <v>0</v>
      </c>
      <c r="K262" s="117">
        <f t="shared" si="133"/>
        <v>0</v>
      </c>
      <c r="L262" s="117">
        <f t="shared" si="133"/>
        <v>180</v>
      </c>
      <c r="M262" s="238">
        <f t="shared" si="133"/>
        <v>360</v>
      </c>
    </row>
    <row r="263" spans="1:13" ht="20" outlineLevel="1" x14ac:dyDescent="0.2">
      <c r="A263" s="101"/>
      <c r="B263" s="12"/>
      <c r="C263" s="101"/>
      <c r="D263" s="101"/>
      <c r="E263" s="14"/>
      <c r="F263" s="228">
        <f t="shared" si="128"/>
        <v>2027</v>
      </c>
      <c r="G263" s="239">
        <f t="shared" si="129"/>
        <v>7687.5</v>
      </c>
      <c r="H263" s="240">
        <f t="shared" si="130"/>
        <v>384.375</v>
      </c>
      <c r="I263" s="241">
        <f t="shared" ref="I263:M263" si="134">$H263*I254</f>
        <v>0</v>
      </c>
      <c r="J263" s="241">
        <f t="shared" si="134"/>
        <v>0</v>
      </c>
      <c r="K263" s="241">
        <f t="shared" si="134"/>
        <v>0</v>
      </c>
      <c r="L263" s="241">
        <f t="shared" si="134"/>
        <v>0</v>
      </c>
      <c r="M263" s="211">
        <f t="shared" si="134"/>
        <v>192.1875</v>
      </c>
    </row>
    <row r="264" spans="1:13" ht="20" outlineLevel="1" x14ac:dyDescent="0.2">
      <c r="A264" s="101"/>
      <c r="B264" s="12"/>
      <c r="C264" s="101"/>
      <c r="D264" s="101"/>
      <c r="E264" s="14"/>
      <c r="F264" s="242"/>
      <c r="G264" s="236"/>
      <c r="H264" s="236"/>
      <c r="I264" s="117"/>
      <c r="J264" s="117"/>
      <c r="K264" s="117"/>
      <c r="L264" s="117"/>
      <c r="M264" s="117"/>
    </row>
    <row r="265" spans="1:13" ht="20" outlineLevel="1" x14ac:dyDescent="0.2">
      <c r="A265" s="101"/>
      <c r="B265" s="243"/>
      <c r="C265" s="155"/>
      <c r="D265" s="157"/>
      <c r="E265" s="157"/>
      <c r="F265" s="157"/>
      <c r="G265" s="157"/>
      <c r="H265" s="157"/>
      <c r="I265" s="244"/>
      <c r="J265" s="244"/>
      <c r="K265" s="244"/>
      <c r="L265" s="244"/>
      <c r="M265" s="244"/>
    </row>
    <row r="266" spans="1:13" ht="20" outlineLevel="1" x14ac:dyDescent="0.2">
      <c r="A266" s="101"/>
      <c r="B266" s="12"/>
      <c r="C266" s="9"/>
      <c r="D266" s="14"/>
      <c r="E266" s="14"/>
      <c r="F266" s="14"/>
      <c r="G266" s="14"/>
      <c r="H266" s="14"/>
      <c r="I266" s="103"/>
      <c r="J266" s="103"/>
      <c r="K266" s="103"/>
      <c r="L266" s="103"/>
      <c r="M266" s="103"/>
    </row>
    <row r="267" spans="1:13" ht="20" outlineLevel="1" x14ac:dyDescent="0.2">
      <c r="A267" s="101"/>
      <c r="B267" s="12"/>
      <c r="C267" s="9"/>
      <c r="D267" s="14"/>
      <c r="E267" s="14"/>
      <c r="F267" s="14"/>
      <c r="G267" s="14"/>
      <c r="H267" s="14"/>
      <c r="I267" s="103"/>
      <c r="J267" s="103"/>
      <c r="K267" s="103"/>
      <c r="L267" s="103"/>
      <c r="M267" s="103"/>
    </row>
    <row r="268" spans="1:13" ht="20" outlineLevel="1" x14ac:dyDescent="0.2">
      <c r="A268" s="101"/>
      <c r="B268" s="200" t="s">
        <v>130</v>
      </c>
      <c r="C268" s="9"/>
      <c r="D268" s="14"/>
      <c r="E268" s="14"/>
      <c r="F268" s="14"/>
      <c r="G268" s="14"/>
      <c r="H268" s="14"/>
      <c r="I268" s="103"/>
      <c r="J268" s="103"/>
      <c r="K268" s="103"/>
      <c r="L268" s="103"/>
      <c r="M268" s="103"/>
    </row>
    <row r="269" spans="1:13" ht="20" outlineLevel="1" x14ac:dyDescent="0.2">
      <c r="A269" s="101"/>
      <c r="B269" s="87" t="s">
        <v>131</v>
      </c>
      <c r="C269" s="9"/>
      <c r="D269" s="14"/>
      <c r="E269" s="14"/>
      <c r="F269" s="125"/>
      <c r="G269" s="125"/>
      <c r="H269" s="125"/>
      <c r="I269" s="152">
        <f>$D$245/$D$244*I245</f>
        <v>4712.9375</v>
      </c>
      <c r="J269" s="152">
        <f t="shared" ref="J269:M269" si="135">$D$245/$D$244*J245</f>
        <v>4712.9375</v>
      </c>
      <c r="K269" s="152">
        <f t="shared" si="135"/>
        <v>4712.9375</v>
      </c>
      <c r="L269" s="152">
        <f t="shared" si="135"/>
        <v>4712.9375</v>
      </c>
      <c r="M269" s="152">
        <f t="shared" si="135"/>
        <v>4712.9375</v>
      </c>
    </row>
    <row r="270" spans="1:13" ht="20" outlineLevel="1" x14ac:dyDescent="0.2">
      <c r="A270" s="101"/>
      <c r="B270" s="87" t="s">
        <v>132</v>
      </c>
      <c r="C270" s="9"/>
      <c r="D270" s="14"/>
      <c r="E270" s="14"/>
      <c r="F270" s="14"/>
      <c r="G270" s="14"/>
      <c r="H270" s="14"/>
      <c r="I270" s="152">
        <f>SUM(I259:I263)</f>
        <v>636.875</v>
      </c>
      <c r="J270" s="152">
        <f t="shared" ref="J270:M270" si="136">SUM(J259:J263)</f>
        <v>1450</v>
      </c>
      <c r="K270" s="152">
        <f t="shared" si="136"/>
        <v>1808.125</v>
      </c>
      <c r="L270" s="152">
        <f t="shared" si="136"/>
        <v>2170</v>
      </c>
      <c r="M270" s="152">
        <f t="shared" si="136"/>
        <v>2542.1875</v>
      </c>
    </row>
    <row r="271" spans="1:13" ht="21" outlineLevel="1" thickBot="1" x14ac:dyDescent="0.25">
      <c r="A271" s="101"/>
      <c r="B271" s="87" t="s">
        <v>133</v>
      </c>
      <c r="C271" s="9"/>
      <c r="D271" s="14"/>
      <c r="E271" s="14"/>
      <c r="F271" s="14"/>
      <c r="G271" s="14"/>
      <c r="H271" s="14"/>
      <c r="I271" s="165">
        <f>SUM(I269:I270)</f>
        <v>5349.8125</v>
      </c>
      <c r="J271" s="165">
        <f t="shared" ref="J271:M271" si="137">SUM(J269:J270)</f>
        <v>6162.9375</v>
      </c>
      <c r="K271" s="165">
        <f t="shared" si="137"/>
        <v>6521.0625</v>
      </c>
      <c r="L271" s="165">
        <f t="shared" si="137"/>
        <v>6882.9375</v>
      </c>
      <c r="M271" s="165">
        <f t="shared" si="137"/>
        <v>7255.125</v>
      </c>
    </row>
    <row r="272" spans="1:13" ht="20" outlineLevel="1" x14ac:dyDescent="0.2">
      <c r="A272" s="101"/>
      <c r="B272" s="12"/>
      <c r="C272" s="9"/>
      <c r="D272" s="14"/>
      <c r="E272" s="14"/>
      <c r="F272" s="14"/>
      <c r="G272" s="14"/>
      <c r="H272" s="14"/>
      <c r="I272" s="125"/>
      <c r="J272" s="125"/>
      <c r="K272" s="125"/>
      <c r="L272" s="125"/>
      <c r="M272" s="125"/>
    </row>
    <row r="273" spans="1:13" ht="20" outlineLevel="1" x14ac:dyDescent="0.2">
      <c r="A273" s="101"/>
      <c r="B273" s="12"/>
      <c r="C273" s="9"/>
      <c r="D273" s="14"/>
      <c r="E273" s="14"/>
      <c r="F273" s="14"/>
      <c r="G273" s="14"/>
      <c r="H273" s="14"/>
      <c r="I273" s="125"/>
      <c r="J273" s="125"/>
      <c r="K273" s="125"/>
      <c r="L273" s="125"/>
      <c r="M273" s="125"/>
    </row>
    <row r="274" spans="1:13" ht="20" outlineLevel="1" x14ac:dyDescent="0.2">
      <c r="A274" s="101"/>
      <c r="B274" s="101"/>
      <c r="C274" s="9"/>
      <c r="D274" s="14"/>
      <c r="E274" s="14"/>
      <c r="F274" s="14"/>
      <c r="G274" s="14"/>
      <c r="H274" s="14"/>
      <c r="I274" s="103"/>
      <c r="J274" s="103"/>
      <c r="K274" s="103"/>
      <c r="L274" s="103"/>
      <c r="M274" s="193" t="s">
        <v>134</v>
      </c>
    </row>
    <row r="275" spans="1:13" ht="20" outlineLevel="1" x14ac:dyDescent="0.2">
      <c r="A275" s="101"/>
      <c r="B275" s="101"/>
      <c r="C275" s="9"/>
      <c r="D275" s="14"/>
      <c r="E275" s="14"/>
      <c r="F275" s="14"/>
      <c r="G275" s="14"/>
      <c r="H275" s="14"/>
      <c r="I275" s="103"/>
      <c r="J275" s="103"/>
      <c r="K275" s="103"/>
      <c r="L275" s="103"/>
      <c r="M275" s="245" t="s">
        <v>135</v>
      </c>
    </row>
    <row r="276" spans="1:13" ht="20" outlineLevel="1" x14ac:dyDescent="0.2">
      <c r="A276" s="101"/>
      <c r="B276" s="101"/>
      <c r="C276" s="9"/>
      <c r="D276" s="14"/>
      <c r="E276" s="14"/>
      <c r="F276" s="14"/>
      <c r="G276" s="14"/>
      <c r="H276" s="14"/>
      <c r="I276" s="103"/>
      <c r="J276" s="103"/>
      <c r="K276" s="103"/>
      <c r="L276" s="103"/>
      <c r="M276" s="246"/>
    </row>
    <row r="277" spans="1:13" ht="20" outlineLevel="1" x14ac:dyDescent="0.2">
      <c r="A277" s="101"/>
      <c r="B277" s="243"/>
      <c r="C277" s="155"/>
      <c r="D277" s="157"/>
      <c r="E277" s="157"/>
      <c r="F277" s="157"/>
      <c r="G277" s="157"/>
      <c r="H277" s="157"/>
      <c r="I277" s="244"/>
      <c r="J277" s="244"/>
      <c r="K277" s="244"/>
      <c r="L277" s="244"/>
      <c r="M277" s="244"/>
    </row>
    <row r="278" spans="1:13" ht="20" x14ac:dyDescent="0.2">
      <c r="A278" s="101"/>
      <c r="B278" s="12"/>
      <c r="C278" s="9"/>
      <c r="D278" s="14"/>
      <c r="E278" s="14"/>
      <c r="F278" s="14"/>
      <c r="G278" s="14"/>
      <c r="H278" s="14"/>
      <c r="I278" s="103"/>
      <c r="J278" s="103"/>
      <c r="K278" s="103"/>
      <c r="L278" s="103"/>
      <c r="M278" s="103"/>
    </row>
    <row r="279" spans="1:13" ht="20" x14ac:dyDescent="0.2">
      <c r="A279" s="101" t="s">
        <v>0</v>
      </c>
      <c r="B279" s="3" t="s">
        <v>136</v>
      </c>
      <c r="C279" s="4"/>
      <c r="D279" s="183"/>
      <c r="E279" s="183"/>
      <c r="F279" s="6"/>
      <c r="G279" s="6"/>
      <c r="H279" s="6"/>
      <c r="I279" s="184"/>
      <c r="J279" s="185"/>
      <c r="K279" s="185"/>
      <c r="L279" s="185"/>
      <c r="M279" s="185"/>
    </row>
    <row r="280" spans="1:13" ht="20" outlineLevel="1" x14ac:dyDescent="0.2">
      <c r="A280" s="101"/>
      <c r="B280" s="8"/>
      <c r="C280" s="9"/>
      <c r="D280" s="10"/>
      <c r="E280" s="10"/>
      <c r="F280" s="11"/>
      <c r="G280" s="11"/>
      <c r="H280" s="11"/>
      <c r="I280" s="11"/>
      <c r="J280" s="11"/>
      <c r="K280" s="11"/>
      <c r="L280" s="11"/>
      <c r="M280" s="11"/>
    </row>
    <row r="281" spans="1:13" ht="21" outlineLevel="1" thickBot="1" x14ac:dyDescent="0.25">
      <c r="A281" s="101"/>
      <c r="B281" s="12" t="s">
        <v>2</v>
      </c>
      <c r="C281" s="9"/>
      <c r="D281" s="14"/>
      <c r="E281" s="14"/>
      <c r="F281" s="11"/>
      <c r="G281" s="14"/>
      <c r="H281" s="298">
        <f>H5</f>
        <v>2022</v>
      </c>
      <c r="I281" s="297">
        <f>I5</f>
        <v>2023</v>
      </c>
      <c r="J281" s="297">
        <f t="shared" ref="J281:M281" si="138">J5</f>
        <v>2024</v>
      </c>
      <c r="K281" s="297">
        <f t="shared" si="138"/>
        <v>2025</v>
      </c>
      <c r="L281" s="297">
        <f t="shared" si="138"/>
        <v>2026</v>
      </c>
      <c r="M281" s="297">
        <f t="shared" si="138"/>
        <v>2027</v>
      </c>
    </row>
    <row r="282" spans="1:13" ht="15" outlineLevel="1" x14ac:dyDescent="0.2">
      <c r="A282" s="1"/>
      <c r="B282" s="12" t="str">
        <f>B6</f>
        <v>Model Running : Base Case Drivers</v>
      </c>
      <c r="C282" s="9"/>
      <c r="D282" s="14"/>
      <c r="E282" s="14"/>
      <c r="F282" s="14"/>
      <c r="G282" s="14"/>
      <c r="H282" s="14"/>
      <c r="I282" s="103"/>
      <c r="J282" s="103"/>
      <c r="K282" s="103"/>
      <c r="L282" s="103"/>
      <c r="M282" s="103"/>
    </row>
    <row r="283" spans="1:13" ht="20" outlineLevel="1" x14ac:dyDescent="0.2">
      <c r="A283" s="101"/>
      <c r="B283" s="12"/>
      <c r="C283" s="9"/>
      <c r="D283" s="14"/>
      <c r="E283" s="14"/>
      <c r="F283" s="14"/>
      <c r="G283" s="14"/>
      <c r="H283" s="14"/>
      <c r="I283" s="103"/>
      <c r="J283" s="103"/>
      <c r="K283" s="103"/>
      <c r="L283" s="103"/>
      <c r="M283" s="103"/>
    </row>
    <row r="284" spans="1:13" ht="20" outlineLevel="1" x14ac:dyDescent="0.2">
      <c r="A284" s="101"/>
      <c r="B284" s="195" t="s">
        <v>9</v>
      </c>
      <c r="C284" s="9"/>
      <c r="D284" s="14"/>
      <c r="E284" s="14"/>
      <c r="F284" s="14"/>
      <c r="G284" s="152"/>
      <c r="H284" s="152"/>
      <c r="I284" s="247">
        <f>I240</f>
        <v>25475</v>
      </c>
      <c r="J284" s="248">
        <f t="shared" ref="J284:M284" si="139">J240</f>
        <v>7050</v>
      </c>
      <c r="K284" s="248">
        <f t="shared" si="139"/>
        <v>7275</v>
      </c>
      <c r="L284" s="248">
        <f t="shared" si="139"/>
        <v>7200</v>
      </c>
      <c r="M284" s="249">
        <f t="shared" si="139"/>
        <v>7687.5</v>
      </c>
    </row>
    <row r="285" spans="1:13" ht="20" outlineLevel="1" x14ac:dyDescent="0.2">
      <c r="A285" s="101"/>
      <c r="B285" s="12"/>
      <c r="C285" s="9"/>
      <c r="D285" s="14"/>
      <c r="E285" s="14"/>
      <c r="F285" s="14"/>
      <c r="G285" s="14"/>
      <c r="H285" s="14"/>
      <c r="I285" s="103"/>
      <c r="J285" s="103"/>
      <c r="K285" s="103"/>
      <c r="L285" s="103"/>
      <c r="M285" s="103"/>
    </row>
    <row r="286" spans="1:13" ht="20" outlineLevel="1" x14ac:dyDescent="0.2">
      <c r="A286" s="101"/>
      <c r="B286" s="205" t="s">
        <v>26</v>
      </c>
      <c r="C286" s="250"/>
      <c r="D286" s="222">
        <f>Inputs!L53</f>
        <v>0.5</v>
      </c>
      <c r="E286" s="14"/>
      <c r="F286" s="14"/>
      <c r="G286" s="14"/>
      <c r="H286" s="14"/>
      <c r="I286" s="103"/>
      <c r="J286" s="103"/>
      <c r="K286" s="103"/>
      <c r="L286" s="103"/>
      <c r="M286" s="103"/>
    </row>
    <row r="287" spans="1:13" ht="20" outlineLevel="1" x14ac:dyDescent="0.2">
      <c r="A287" s="101"/>
      <c r="B287" s="210" t="s">
        <v>189</v>
      </c>
      <c r="C287" s="251"/>
      <c r="D287" s="172">
        <f>Inputs!L54</f>
        <v>0.15</v>
      </c>
      <c r="E287" s="14"/>
      <c r="F287" s="14"/>
      <c r="G287" s="14"/>
      <c r="H287" s="14"/>
      <c r="I287" s="101"/>
      <c r="J287" s="103"/>
      <c r="K287" s="103"/>
      <c r="L287" s="103"/>
      <c r="M287" s="103"/>
    </row>
    <row r="288" spans="1:13" ht="20" outlineLevel="1" x14ac:dyDescent="0.2">
      <c r="A288" s="101"/>
      <c r="B288" s="104"/>
      <c r="C288" s="101"/>
      <c r="D288" s="252"/>
      <c r="E288" s="14"/>
      <c r="F288" s="14"/>
      <c r="G288" s="14"/>
      <c r="H288" s="14"/>
      <c r="I288" s="253"/>
      <c r="J288" s="253"/>
      <c r="K288" s="253"/>
      <c r="L288" s="253"/>
      <c r="M288" s="253"/>
    </row>
    <row r="289" spans="1:13" ht="20" outlineLevel="1" x14ac:dyDescent="0.2">
      <c r="A289" s="101"/>
      <c r="B289" s="104"/>
      <c r="C289" s="101"/>
      <c r="D289" s="252"/>
      <c r="E289" s="14"/>
      <c r="F289" s="14"/>
      <c r="G289" s="14"/>
      <c r="H289" s="14"/>
      <c r="I289" s="253"/>
      <c r="J289" s="253"/>
      <c r="K289" s="253"/>
      <c r="L289" s="253"/>
      <c r="M289" s="253"/>
    </row>
    <row r="290" spans="1:13" ht="20" outlineLevel="1" x14ac:dyDescent="0.2">
      <c r="A290" s="101"/>
      <c r="B290" s="200" t="s">
        <v>137</v>
      </c>
      <c r="C290" s="9"/>
      <c r="D290" s="14"/>
      <c r="E290" s="14"/>
      <c r="F290" s="14"/>
      <c r="G290" s="14"/>
      <c r="H290" s="14"/>
      <c r="I290" s="103"/>
      <c r="J290" s="103"/>
      <c r="K290" s="103"/>
      <c r="L290" s="103"/>
      <c r="M290" s="103"/>
    </row>
    <row r="291" spans="1:13" ht="20" outlineLevel="1" x14ac:dyDescent="0.2">
      <c r="A291" s="101"/>
      <c r="B291" s="87" t="s">
        <v>138</v>
      </c>
      <c r="C291" s="9"/>
      <c r="D291" s="14"/>
      <c r="E291" s="14"/>
      <c r="F291" s="14"/>
      <c r="G291" s="125"/>
      <c r="H291" s="152"/>
      <c r="I291" s="152">
        <f>H294</f>
        <v>75407</v>
      </c>
      <c r="J291" s="152">
        <f t="shared" ref="J291:M291" si="140">I294</f>
        <v>95532.1875</v>
      </c>
      <c r="K291" s="152">
        <f t="shared" si="140"/>
        <v>96419.25</v>
      </c>
      <c r="L291" s="152">
        <f t="shared" si="140"/>
        <v>97173.1875</v>
      </c>
      <c r="M291" s="152">
        <f t="shared" si="140"/>
        <v>97490.25</v>
      </c>
    </row>
    <row r="292" spans="1:13" ht="20" outlineLevel="1" x14ac:dyDescent="0.2">
      <c r="A292" s="101"/>
      <c r="B292" s="87" t="s">
        <v>9</v>
      </c>
      <c r="C292" s="9"/>
      <c r="D292" s="14"/>
      <c r="E292" s="14"/>
      <c r="F292" s="14"/>
      <c r="G292" s="125"/>
      <c r="H292" s="152"/>
      <c r="I292" s="152">
        <f>I284</f>
        <v>25475</v>
      </c>
      <c r="J292" s="152">
        <f t="shared" ref="J292:M292" si="141">J284</f>
        <v>7050</v>
      </c>
      <c r="K292" s="152">
        <f t="shared" si="141"/>
        <v>7275</v>
      </c>
      <c r="L292" s="152">
        <f t="shared" si="141"/>
        <v>7200</v>
      </c>
      <c r="M292" s="152">
        <f t="shared" si="141"/>
        <v>7687.5</v>
      </c>
    </row>
    <row r="293" spans="1:13" ht="20" outlineLevel="1" x14ac:dyDescent="0.2">
      <c r="A293" s="101"/>
      <c r="B293" s="87" t="s">
        <v>139</v>
      </c>
      <c r="C293" s="9"/>
      <c r="D293" s="14"/>
      <c r="E293" s="14"/>
      <c r="F293" s="14"/>
      <c r="G293" s="125"/>
      <c r="H293" s="158"/>
      <c r="I293" s="158">
        <f>-I271</f>
        <v>-5349.8125</v>
      </c>
      <c r="J293" s="158">
        <f t="shared" ref="J293:M293" si="142">-J271</f>
        <v>-6162.9375</v>
      </c>
      <c r="K293" s="158">
        <f t="shared" si="142"/>
        <v>-6521.0625</v>
      </c>
      <c r="L293" s="158">
        <f t="shared" si="142"/>
        <v>-6882.9375</v>
      </c>
      <c r="M293" s="158">
        <f t="shared" si="142"/>
        <v>-7255.125</v>
      </c>
    </row>
    <row r="294" spans="1:13" ht="20" outlineLevel="1" x14ac:dyDescent="0.2">
      <c r="A294" s="101"/>
      <c r="B294" s="87" t="s">
        <v>140</v>
      </c>
      <c r="C294" s="9"/>
      <c r="D294" s="14"/>
      <c r="E294" s="14"/>
      <c r="F294" s="254"/>
      <c r="G294" s="125"/>
      <c r="H294" s="152">
        <f>H87</f>
        <v>75407</v>
      </c>
      <c r="I294" s="152">
        <f>SUM(I291:I293)</f>
        <v>95532.1875</v>
      </c>
      <c r="J294" s="152">
        <f t="shared" ref="J294:M294" si="143">SUM(J291:J293)</f>
        <v>96419.25</v>
      </c>
      <c r="K294" s="152">
        <f t="shared" si="143"/>
        <v>97173.1875</v>
      </c>
      <c r="L294" s="152">
        <f t="shared" si="143"/>
        <v>97490.25</v>
      </c>
      <c r="M294" s="152">
        <f t="shared" si="143"/>
        <v>97922.625</v>
      </c>
    </row>
    <row r="295" spans="1:13" ht="20" outlineLevel="1" x14ac:dyDescent="0.2">
      <c r="A295" s="101"/>
      <c r="B295" s="12"/>
      <c r="C295" s="9"/>
      <c r="D295" s="14"/>
      <c r="E295" s="14"/>
      <c r="F295" s="14"/>
      <c r="G295" s="14"/>
      <c r="H295" s="116"/>
      <c r="I295" s="116"/>
      <c r="J295" s="116"/>
      <c r="K295" s="116"/>
      <c r="L295" s="116"/>
      <c r="M295" s="116"/>
    </row>
    <row r="296" spans="1:13" ht="20" outlineLevel="1" x14ac:dyDescent="0.2">
      <c r="A296" s="101"/>
      <c r="B296" s="12"/>
      <c r="C296" s="9"/>
      <c r="D296" s="14"/>
      <c r="E296" s="14"/>
      <c r="F296" s="14"/>
      <c r="G296" s="14"/>
      <c r="H296" s="116"/>
      <c r="I296" s="116"/>
      <c r="J296" s="116"/>
      <c r="K296" s="116"/>
      <c r="L296" s="116"/>
      <c r="M296" s="116"/>
    </row>
    <row r="297" spans="1:13" ht="20" outlineLevel="1" x14ac:dyDescent="0.2">
      <c r="A297" s="101"/>
      <c r="B297" s="200" t="s">
        <v>141</v>
      </c>
      <c r="C297" s="9"/>
      <c r="D297" s="14"/>
      <c r="E297" s="14"/>
      <c r="F297" s="14"/>
      <c r="G297" s="14"/>
      <c r="H297" s="116"/>
      <c r="I297" s="116"/>
      <c r="J297" s="116"/>
      <c r="K297" s="116"/>
      <c r="L297" s="116"/>
      <c r="M297" s="116"/>
    </row>
    <row r="298" spans="1:13" ht="20" outlineLevel="1" x14ac:dyDescent="0.2">
      <c r="A298" s="101"/>
      <c r="B298" s="87" t="s">
        <v>138</v>
      </c>
      <c r="C298" s="9"/>
      <c r="D298" s="14"/>
      <c r="E298" s="14"/>
      <c r="F298" s="14"/>
      <c r="G298" s="125"/>
      <c r="H298" s="152"/>
      <c r="I298" s="152">
        <f>H301</f>
        <v>39211</v>
      </c>
      <c r="J298" s="152">
        <f t="shared" ref="J298:M298" si="144">I301</f>
        <v>56893.724999999999</v>
      </c>
      <c r="K298" s="152">
        <f t="shared" si="144"/>
        <v>54880.916249999995</v>
      </c>
      <c r="L298" s="152">
        <f t="shared" si="144"/>
        <v>53378.153812499993</v>
      </c>
      <c r="M298" s="152">
        <f t="shared" si="144"/>
        <v>52031.430740624994</v>
      </c>
    </row>
    <row r="299" spans="1:13" ht="20" outlineLevel="1" x14ac:dyDescent="0.2">
      <c r="A299" s="101"/>
      <c r="B299" s="87" t="s">
        <v>9</v>
      </c>
      <c r="C299" s="9"/>
      <c r="D299" s="14"/>
      <c r="E299" s="14"/>
      <c r="F299" s="14"/>
      <c r="G299" s="125"/>
      <c r="H299" s="152"/>
      <c r="I299" s="152">
        <f>I284</f>
        <v>25475</v>
      </c>
      <c r="J299" s="152">
        <f t="shared" ref="J299:M299" si="145">J284</f>
        <v>7050</v>
      </c>
      <c r="K299" s="152">
        <f t="shared" si="145"/>
        <v>7275</v>
      </c>
      <c r="L299" s="152">
        <f t="shared" si="145"/>
        <v>7200</v>
      </c>
      <c r="M299" s="152">
        <f t="shared" si="145"/>
        <v>7687.5</v>
      </c>
    </row>
    <row r="300" spans="1:13" ht="20" outlineLevel="1" x14ac:dyDescent="0.2">
      <c r="A300" s="101"/>
      <c r="B300" s="87" t="s">
        <v>142</v>
      </c>
      <c r="C300" s="101"/>
      <c r="D300" s="101"/>
      <c r="E300" s="101"/>
      <c r="F300" s="101"/>
      <c r="G300" s="101"/>
      <c r="H300" s="251"/>
      <c r="I300" s="158">
        <f>-(I298+I299*$D$286)*$D$287</f>
        <v>-7792.2749999999996</v>
      </c>
      <c r="J300" s="158">
        <f t="shared" ref="J300:M300" si="146">-(J298+J299*$D$286)*$D$287</f>
        <v>-9062.8087500000001</v>
      </c>
      <c r="K300" s="158">
        <f t="shared" si="146"/>
        <v>-8777.7624374999996</v>
      </c>
      <c r="L300" s="158">
        <f t="shared" si="146"/>
        <v>-8546.7230718749979</v>
      </c>
      <c r="M300" s="158">
        <f t="shared" si="146"/>
        <v>-8381.2771110937483</v>
      </c>
    </row>
    <row r="301" spans="1:13" ht="20" outlineLevel="1" x14ac:dyDescent="0.2">
      <c r="A301" s="101"/>
      <c r="B301" s="87" t="s">
        <v>140</v>
      </c>
      <c r="C301" s="9"/>
      <c r="D301" s="14"/>
      <c r="E301" s="14"/>
      <c r="F301" s="129"/>
      <c r="G301" s="125"/>
      <c r="H301" s="152">
        <f>Inputs!L55</f>
        <v>39211</v>
      </c>
      <c r="I301" s="152">
        <f>SUM(I298:I300)</f>
        <v>56893.724999999999</v>
      </c>
      <c r="J301" s="152">
        <f t="shared" ref="J301:M301" si="147">SUM(J298:J300)</f>
        <v>54880.916249999995</v>
      </c>
      <c r="K301" s="152">
        <f t="shared" si="147"/>
        <v>53378.153812499993</v>
      </c>
      <c r="L301" s="152">
        <f t="shared" si="147"/>
        <v>52031.430740624994</v>
      </c>
      <c r="M301" s="152">
        <f t="shared" si="147"/>
        <v>51337.653629531247</v>
      </c>
    </row>
    <row r="302" spans="1:13" ht="20" outlineLevel="1" x14ac:dyDescent="0.2">
      <c r="A302" s="101"/>
      <c r="B302" s="12"/>
      <c r="C302" s="9"/>
      <c r="D302" s="14"/>
      <c r="E302" s="14"/>
      <c r="F302" s="14"/>
      <c r="G302" s="14"/>
      <c r="H302" s="14"/>
      <c r="I302" s="103"/>
      <c r="J302" s="103"/>
      <c r="K302" s="103"/>
      <c r="L302" s="103"/>
      <c r="M302" s="103"/>
    </row>
    <row r="303" spans="1:13" ht="20" outlineLevel="1" x14ac:dyDescent="0.2">
      <c r="A303" s="101"/>
      <c r="B303" s="12"/>
      <c r="C303" s="9"/>
      <c r="D303" s="14"/>
      <c r="E303" s="14"/>
      <c r="F303" s="14"/>
      <c r="G303" s="14"/>
      <c r="H303" s="14"/>
      <c r="I303" s="103"/>
      <c r="J303" s="103"/>
      <c r="K303" s="103"/>
      <c r="L303" s="103"/>
      <c r="M303" s="103"/>
    </row>
    <row r="304" spans="1:13" ht="20" outlineLevel="1" x14ac:dyDescent="0.2">
      <c r="A304" s="101"/>
      <c r="B304" s="12"/>
      <c r="C304" s="9"/>
      <c r="D304" s="14"/>
      <c r="E304" s="14"/>
      <c r="F304" s="14"/>
      <c r="G304" s="14"/>
      <c r="H304" s="14"/>
      <c r="I304" s="103"/>
      <c r="J304" s="103"/>
      <c r="K304" s="103"/>
      <c r="L304" s="103"/>
      <c r="M304" s="193"/>
    </row>
    <row r="305" spans="1:13" ht="20" outlineLevel="1" x14ac:dyDescent="0.2">
      <c r="A305" s="101"/>
      <c r="B305" s="12"/>
      <c r="C305" s="9"/>
      <c r="D305" s="14"/>
      <c r="E305" s="14"/>
      <c r="F305" s="14"/>
      <c r="G305" s="14"/>
      <c r="H305" s="14"/>
      <c r="I305" s="103"/>
      <c r="J305" s="103"/>
      <c r="K305" s="103"/>
      <c r="L305" s="103"/>
      <c r="M305" s="193" t="s">
        <v>143</v>
      </c>
    </row>
    <row r="306" spans="1:13" ht="20" outlineLevel="1" x14ac:dyDescent="0.2">
      <c r="A306" s="101"/>
      <c r="B306" s="243"/>
      <c r="C306" s="155"/>
      <c r="D306" s="157"/>
      <c r="E306" s="157"/>
      <c r="F306" s="157"/>
      <c r="G306" s="157"/>
      <c r="H306" s="157"/>
      <c r="I306" s="244"/>
      <c r="J306" s="244"/>
      <c r="K306" s="244"/>
      <c r="L306" s="244"/>
      <c r="M306" s="244"/>
    </row>
    <row r="307" spans="1:13" ht="20" x14ac:dyDescent="0.2">
      <c r="A307" s="101"/>
      <c r="B307" s="12"/>
      <c r="C307" s="9"/>
      <c r="D307" s="14"/>
      <c r="E307" s="14"/>
      <c r="F307" s="14"/>
      <c r="G307" s="14"/>
      <c r="H307" s="14"/>
      <c r="I307" s="103"/>
      <c r="J307" s="103"/>
      <c r="K307" s="103"/>
      <c r="L307" s="103"/>
      <c r="M307" s="103"/>
    </row>
    <row r="308" spans="1:13" ht="20" x14ac:dyDescent="0.2">
      <c r="A308" s="101" t="s">
        <v>0</v>
      </c>
      <c r="B308" s="3" t="s">
        <v>144</v>
      </c>
      <c r="C308" s="4"/>
      <c r="D308" s="183"/>
      <c r="E308" s="183"/>
      <c r="F308" s="6"/>
      <c r="G308" s="6"/>
      <c r="H308" s="6"/>
      <c r="I308" s="184"/>
      <c r="J308" s="185"/>
      <c r="K308" s="185"/>
      <c r="L308" s="185"/>
      <c r="M308" s="185"/>
    </row>
    <row r="309" spans="1:13" ht="20" outlineLevel="1" x14ac:dyDescent="0.2">
      <c r="A309" s="101"/>
      <c r="B309" s="8"/>
      <c r="C309" s="9"/>
      <c r="D309" s="10"/>
      <c r="E309" s="10"/>
      <c r="F309" s="11"/>
      <c r="G309" s="11"/>
      <c r="H309" s="11"/>
      <c r="I309" s="11"/>
      <c r="J309" s="11"/>
      <c r="K309" s="11"/>
      <c r="L309" s="11"/>
      <c r="M309" s="11"/>
    </row>
    <row r="310" spans="1:13" ht="21" outlineLevel="1" thickBot="1" x14ac:dyDescent="0.25">
      <c r="A310" s="101"/>
      <c r="B310" s="12" t="s">
        <v>2</v>
      </c>
      <c r="C310" s="9"/>
      <c r="D310" s="14"/>
      <c r="E310" s="14"/>
      <c r="F310" s="14"/>
      <c r="G310" s="14"/>
      <c r="H310" s="298">
        <f>H5</f>
        <v>2022</v>
      </c>
      <c r="I310" s="297">
        <f>I5</f>
        <v>2023</v>
      </c>
      <c r="J310" s="297">
        <f t="shared" ref="J310:M310" si="148">J5</f>
        <v>2024</v>
      </c>
      <c r="K310" s="297">
        <f t="shared" si="148"/>
        <v>2025</v>
      </c>
      <c r="L310" s="297">
        <f t="shared" si="148"/>
        <v>2026</v>
      </c>
      <c r="M310" s="297">
        <f t="shared" si="148"/>
        <v>2027</v>
      </c>
    </row>
    <row r="311" spans="1:13" ht="15" outlineLevel="1" x14ac:dyDescent="0.2">
      <c r="A311" s="1"/>
      <c r="B311" s="12" t="str">
        <f>B6</f>
        <v>Model Running : Base Case Drivers</v>
      </c>
      <c r="C311" s="9"/>
      <c r="D311" s="14"/>
      <c r="E311" s="14"/>
      <c r="F311" s="14"/>
      <c r="G311" s="14"/>
      <c r="H311" s="14"/>
      <c r="I311" s="103"/>
      <c r="J311" s="103"/>
      <c r="K311" s="103"/>
      <c r="L311" s="103"/>
      <c r="M311" s="103"/>
    </row>
    <row r="312" spans="1:13" ht="20" outlineLevel="1" x14ac:dyDescent="0.2">
      <c r="A312" s="101"/>
      <c r="B312" s="12"/>
      <c r="C312" s="9"/>
      <c r="D312" s="14"/>
      <c r="E312" s="14"/>
      <c r="F312" s="14"/>
      <c r="G312" s="14"/>
      <c r="H312" s="14"/>
      <c r="I312" s="103"/>
      <c r="J312" s="103"/>
      <c r="K312" s="103"/>
      <c r="L312" s="103"/>
      <c r="M312" s="103"/>
    </row>
    <row r="313" spans="1:13" ht="20" outlineLevel="1" x14ac:dyDescent="0.2">
      <c r="A313" s="101"/>
      <c r="B313" s="104" t="s">
        <v>145</v>
      </c>
      <c r="C313" s="9"/>
      <c r="D313" s="14"/>
      <c r="E313" s="14"/>
      <c r="F313" s="101"/>
      <c r="G313" s="125"/>
      <c r="H313" s="152"/>
      <c r="I313" s="169">
        <f ca="1">I27</f>
        <v>14565.878005058725</v>
      </c>
      <c r="J313" s="159">
        <f t="shared" ref="J313:M313" ca="1" si="149">J27</f>
        <v>13928.880293155005</v>
      </c>
      <c r="K313" s="159">
        <f t="shared" ca="1" si="149"/>
        <v>13946.720164358525</v>
      </c>
      <c r="L313" s="159">
        <f t="shared" ca="1" si="149"/>
        <v>13857.780610185217</v>
      </c>
      <c r="M313" s="170">
        <f t="shared" ca="1" si="149"/>
        <v>13369.35541159776</v>
      </c>
    </row>
    <row r="314" spans="1:13" ht="20" outlineLevel="1" x14ac:dyDescent="0.2">
      <c r="A314" s="101"/>
      <c r="B314" s="104" t="s">
        <v>146</v>
      </c>
      <c r="C314" s="9"/>
      <c r="D314" s="14"/>
      <c r="E314" s="14"/>
      <c r="F314" s="14"/>
      <c r="G314" s="14"/>
      <c r="H314" s="14"/>
      <c r="I314" s="255">
        <f ca="1">IF(I324&lt;=0,0,1)</f>
        <v>1</v>
      </c>
      <c r="J314" s="256">
        <f t="shared" ref="J314:M314" ca="1" si="150">IF(J324&lt;=0,0,1)</f>
        <v>1</v>
      </c>
      <c r="K314" s="256">
        <f t="shared" ca="1" si="150"/>
        <v>1</v>
      </c>
      <c r="L314" s="256">
        <f t="shared" ca="1" si="150"/>
        <v>1</v>
      </c>
      <c r="M314" s="257">
        <f t="shared" ca="1" si="150"/>
        <v>1</v>
      </c>
    </row>
    <row r="315" spans="1:13" ht="20" outlineLevel="1" x14ac:dyDescent="0.2">
      <c r="A315" s="101"/>
      <c r="B315" s="12"/>
      <c r="C315" s="9"/>
      <c r="D315" s="14"/>
      <c r="E315" s="14"/>
      <c r="F315" s="14"/>
      <c r="G315" s="14"/>
      <c r="H315" s="14"/>
      <c r="I315" s="103"/>
      <c r="J315" s="103"/>
      <c r="K315" s="103"/>
      <c r="L315" s="103"/>
      <c r="M315" s="103"/>
    </row>
    <row r="316" spans="1:13" ht="20" outlineLevel="1" x14ac:dyDescent="0.2">
      <c r="A316" s="101"/>
      <c r="B316" s="205" t="s">
        <v>24</v>
      </c>
      <c r="C316" s="258"/>
      <c r="D316" s="259">
        <f>Inputs!L52</f>
        <v>0.3</v>
      </c>
      <c r="E316" s="14"/>
      <c r="F316" s="14"/>
      <c r="G316" s="14"/>
      <c r="H316" s="14"/>
      <c r="I316" s="103"/>
      <c r="J316" s="103"/>
      <c r="K316" s="103"/>
      <c r="L316" s="103"/>
      <c r="M316" s="103"/>
    </row>
    <row r="317" spans="1:13" ht="20" outlineLevel="1" x14ac:dyDescent="0.2">
      <c r="A317" s="101"/>
      <c r="B317" s="260" t="s">
        <v>147</v>
      </c>
      <c r="C317" s="155"/>
      <c r="D317" s="261"/>
      <c r="E317" s="14"/>
      <c r="F317" s="152"/>
      <c r="G317" s="262"/>
      <c r="H317" s="152"/>
      <c r="I317" s="152"/>
      <c r="J317" s="152"/>
      <c r="K317" s="152"/>
      <c r="L317" s="152"/>
      <c r="M317" s="1"/>
    </row>
    <row r="318" spans="1:13" ht="20" outlineLevel="1" x14ac:dyDescent="0.2">
      <c r="A318" s="101"/>
      <c r="B318" s="12"/>
      <c r="C318" s="9"/>
      <c r="D318" s="263"/>
      <c r="E318" s="14"/>
      <c r="F318" s="14"/>
      <c r="G318" s="14"/>
      <c r="H318" s="14"/>
      <c r="I318" s="103"/>
      <c r="J318" s="103"/>
      <c r="K318" s="103"/>
      <c r="L318" s="103"/>
      <c r="M318" s="103"/>
    </row>
    <row r="319" spans="1:13" ht="20" outlineLevel="1" x14ac:dyDescent="0.2">
      <c r="A319" s="101"/>
      <c r="B319" s="12"/>
      <c r="C319" s="9"/>
      <c r="D319" s="263"/>
      <c r="E319" s="14"/>
      <c r="F319" s="14"/>
      <c r="G319" s="14"/>
      <c r="H319" s="14"/>
      <c r="I319" s="103"/>
      <c r="J319" s="103"/>
      <c r="K319" s="103"/>
      <c r="L319" s="103"/>
      <c r="M319" s="103"/>
    </row>
    <row r="320" spans="1:13" ht="20" outlineLevel="1" x14ac:dyDescent="0.2">
      <c r="A320" s="101"/>
      <c r="B320" s="18" t="s">
        <v>148</v>
      </c>
      <c r="C320" s="9"/>
      <c r="D320" s="14"/>
      <c r="E320" s="14"/>
      <c r="F320" s="14"/>
      <c r="G320" s="14"/>
      <c r="H320" s="14"/>
      <c r="I320" s="103"/>
      <c r="J320" s="103"/>
      <c r="K320" s="103"/>
      <c r="L320" s="103"/>
      <c r="M320" s="103"/>
    </row>
    <row r="321" spans="1:13" ht="20" outlineLevel="1" x14ac:dyDescent="0.2">
      <c r="A321" s="101"/>
      <c r="B321" s="87" t="s">
        <v>55</v>
      </c>
      <c r="C321" s="9"/>
      <c r="D321" s="14"/>
      <c r="E321" s="14"/>
      <c r="F321" s="14"/>
      <c r="G321" s="14"/>
      <c r="H321" s="152"/>
      <c r="I321" s="152">
        <f ca="1">I313</f>
        <v>14565.878005058725</v>
      </c>
      <c r="J321" s="152">
        <f t="shared" ref="J321:M321" ca="1" si="151">J313</f>
        <v>13928.880293155005</v>
      </c>
      <c r="K321" s="152">
        <f t="shared" ca="1" si="151"/>
        <v>13946.720164358525</v>
      </c>
      <c r="L321" s="152">
        <f t="shared" ca="1" si="151"/>
        <v>13857.780610185217</v>
      </c>
      <c r="M321" s="152">
        <f t="shared" ca="1" si="151"/>
        <v>13369.35541159776</v>
      </c>
    </row>
    <row r="322" spans="1:13" ht="20" outlineLevel="1" x14ac:dyDescent="0.2">
      <c r="A322" s="101"/>
      <c r="B322" s="87" t="s">
        <v>149</v>
      </c>
      <c r="C322" s="9"/>
      <c r="D322" s="14"/>
      <c r="E322" s="14"/>
      <c r="F322" s="14"/>
      <c r="G322" s="14"/>
      <c r="H322" s="116"/>
      <c r="I322" s="152">
        <f>I293*-1</f>
        <v>5349.8125</v>
      </c>
      <c r="J322" s="152">
        <f t="shared" ref="J322:M322" si="152">J293*-1</f>
        <v>6162.9375</v>
      </c>
      <c r="K322" s="152">
        <f t="shared" si="152"/>
        <v>6521.0625</v>
      </c>
      <c r="L322" s="152">
        <f t="shared" si="152"/>
        <v>6882.9375</v>
      </c>
      <c r="M322" s="152">
        <f t="shared" si="152"/>
        <v>7255.125</v>
      </c>
    </row>
    <row r="323" spans="1:13" ht="20" outlineLevel="1" x14ac:dyDescent="0.2">
      <c r="A323" s="101"/>
      <c r="B323" s="87" t="s">
        <v>150</v>
      </c>
      <c r="C323" s="9"/>
      <c r="D323" s="14"/>
      <c r="E323" s="14"/>
      <c r="F323" s="14"/>
      <c r="G323" s="14"/>
      <c r="H323" s="116"/>
      <c r="I323" s="158">
        <f>I300</f>
        <v>-7792.2749999999996</v>
      </c>
      <c r="J323" s="158">
        <f t="shared" ref="J323:M323" si="153">J300</f>
        <v>-9062.8087500000001</v>
      </c>
      <c r="K323" s="158">
        <f t="shared" si="153"/>
        <v>-8777.7624374999996</v>
      </c>
      <c r="L323" s="158">
        <f t="shared" si="153"/>
        <v>-8546.7230718749979</v>
      </c>
      <c r="M323" s="158">
        <f t="shared" si="153"/>
        <v>-8381.2771110937483</v>
      </c>
    </row>
    <row r="324" spans="1:13" ht="20" outlineLevel="1" x14ac:dyDescent="0.2">
      <c r="A324" s="101"/>
      <c r="B324" s="87" t="s">
        <v>151</v>
      </c>
      <c r="C324" s="9"/>
      <c r="D324" s="14"/>
      <c r="E324" s="14"/>
      <c r="F324" s="14"/>
      <c r="G324" s="14"/>
      <c r="H324" s="152"/>
      <c r="I324" s="152">
        <f ca="1">SUM(I321:I323)</f>
        <v>12123.415505058723</v>
      </c>
      <c r="J324" s="152">
        <f t="shared" ref="J324:M324" ca="1" si="154">SUM(J321:J323)</f>
        <v>11029.009043155005</v>
      </c>
      <c r="K324" s="152">
        <f t="shared" ca="1" si="154"/>
        <v>11690.020226858525</v>
      </c>
      <c r="L324" s="152">
        <f t="shared" ca="1" si="154"/>
        <v>12193.99503831022</v>
      </c>
      <c r="M324" s="152">
        <f t="shared" ca="1" si="154"/>
        <v>12243.203300504012</v>
      </c>
    </row>
    <row r="325" spans="1:13" ht="20" outlineLevel="1" x14ac:dyDescent="0.2">
      <c r="A325" s="101"/>
      <c r="B325" s="12"/>
      <c r="C325" s="9"/>
      <c r="D325" s="14"/>
      <c r="E325" s="14"/>
      <c r="F325" s="14"/>
      <c r="G325" s="14"/>
      <c r="H325" s="116"/>
      <c r="I325" s="152"/>
      <c r="J325" s="152"/>
      <c r="K325" s="152"/>
      <c r="L325" s="152"/>
      <c r="M325" s="152"/>
    </row>
    <row r="326" spans="1:13" ht="20" outlineLevel="1" x14ac:dyDescent="0.2">
      <c r="A326" s="101"/>
      <c r="B326" s="200" t="s">
        <v>152</v>
      </c>
      <c r="C326" s="9"/>
      <c r="D326" s="14"/>
      <c r="E326" s="14"/>
      <c r="F326" s="14"/>
      <c r="G326" s="14"/>
      <c r="H326" s="116"/>
      <c r="I326" s="152"/>
      <c r="J326" s="152"/>
      <c r="K326" s="152"/>
      <c r="L326" s="152"/>
      <c r="M326" s="152"/>
    </row>
    <row r="327" spans="1:13" ht="20" outlineLevel="1" x14ac:dyDescent="0.2">
      <c r="A327" s="101"/>
      <c r="B327" s="87" t="s">
        <v>151</v>
      </c>
      <c r="C327" s="9"/>
      <c r="D327" s="14"/>
      <c r="E327" s="14"/>
      <c r="F327" s="14"/>
      <c r="G327" s="14"/>
      <c r="H327" s="152"/>
      <c r="I327" s="152">
        <f ca="1">I324</f>
        <v>12123.415505058723</v>
      </c>
      <c r="J327" s="152">
        <f ca="1">J324</f>
        <v>11029.009043155005</v>
      </c>
      <c r="K327" s="152">
        <f t="shared" ref="J327:M327" ca="1" si="155">K324</f>
        <v>11690.020226858525</v>
      </c>
      <c r="L327" s="152">
        <f t="shared" ca="1" si="155"/>
        <v>12193.99503831022</v>
      </c>
      <c r="M327" s="152">
        <f t="shared" ca="1" si="155"/>
        <v>12243.203300504012</v>
      </c>
    </row>
    <row r="328" spans="1:13" ht="20" outlineLevel="1" x14ac:dyDescent="0.2">
      <c r="A328" s="101"/>
      <c r="B328" s="264" t="s">
        <v>153</v>
      </c>
      <c r="C328" s="9"/>
      <c r="D328" s="14"/>
      <c r="E328" s="14"/>
      <c r="F328" s="14"/>
      <c r="G328" s="14"/>
      <c r="H328" s="116"/>
      <c r="I328" s="158">
        <f ca="1">I334</f>
        <v>-2657</v>
      </c>
      <c r="J328" s="158">
        <f t="shared" ref="J328:M328" ca="1" si="156">J334</f>
        <v>0</v>
      </c>
      <c r="K328" s="158">
        <f t="shared" ca="1" si="156"/>
        <v>0</v>
      </c>
      <c r="L328" s="158">
        <f t="shared" ca="1" si="156"/>
        <v>0</v>
      </c>
      <c r="M328" s="158">
        <f t="shared" ca="1" si="156"/>
        <v>0</v>
      </c>
    </row>
    <row r="329" spans="1:13" ht="20" outlineLevel="1" x14ac:dyDescent="0.2">
      <c r="A329" s="101"/>
      <c r="B329" s="87" t="s">
        <v>154</v>
      </c>
      <c r="C329" s="9"/>
      <c r="D329" s="14"/>
      <c r="E329" s="14"/>
      <c r="F329" s="14"/>
      <c r="G329" s="14"/>
      <c r="H329" s="116"/>
      <c r="I329" s="152">
        <f ca="1">SUM(I327:I328)</f>
        <v>9466.4155050587233</v>
      </c>
      <c r="J329" s="152">
        <f t="shared" ref="J329:M329" ca="1" si="157">SUM(J327:J328)</f>
        <v>11029.009043155005</v>
      </c>
      <c r="K329" s="152">
        <f t="shared" ca="1" si="157"/>
        <v>11690.020226858525</v>
      </c>
      <c r="L329" s="152">
        <f t="shared" ca="1" si="157"/>
        <v>12193.99503831022</v>
      </c>
      <c r="M329" s="152">
        <f t="shared" ca="1" si="157"/>
        <v>12243.203300504012</v>
      </c>
    </row>
    <row r="330" spans="1:13" ht="20" outlineLevel="1" x14ac:dyDescent="0.2">
      <c r="A330" s="101"/>
      <c r="B330" s="12"/>
      <c r="C330" s="9"/>
      <c r="D330" s="14"/>
      <c r="E330" s="14"/>
      <c r="F330" s="14"/>
      <c r="G330" s="14"/>
      <c r="H330" s="116"/>
      <c r="I330" s="116"/>
      <c r="J330" s="116"/>
      <c r="K330" s="116"/>
      <c r="L330" s="116"/>
      <c r="M330" s="116"/>
    </row>
    <row r="331" spans="1:13" ht="20" outlineLevel="1" x14ac:dyDescent="0.2">
      <c r="A331" s="101"/>
      <c r="B331" s="200" t="s">
        <v>155</v>
      </c>
      <c r="C331" s="9"/>
      <c r="D331" s="14"/>
      <c r="E331" s="14"/>
      <c r="F331" s="14"/>
      <c r="G331" s="14"/>
      <c r="H331" s="116"/>
      <c r="I331" s="116"/>
      <c r="J331" s="116"/>
      <c r="K331" s="116"/>
      <c r="L331" s="116"/>
      <c r="M331" s="116"/>
    </row>
    <row r="332" spans="1:13" ht="20" outlineLevel="1" x14ac:dyDescent="0.2">
      <c r="A332" s="101"/>
      <c r="B332" s="87" t="s">
        <v>138</v>
      </c>
      <c r="C332" s="9"/>
      <c r="D332" s="14"/>
      <c r="E332" s="14"/>
      <c r="F332" s="14"/>
      <c r="G332" s="14"/>
      <c r="H332" s="116"/>
      <c r="I332" s="152">
        <f>H335</f>
        <v>2657</v>
      </c>
      <c r="J332" s="152">
        <f t="shared" ref="J332:M332" ca="1" si="158">I335</f>
        <v>0</v>
      </c>
      <c r="K332" s="152">
        <f t="shared" ca="1" si="158"/>
        <v>0</v>
      </c>
      <c r="L332" s="152">
        <f t="shared" ca="1" si="158"/>
        <v>0</v>
      </c>
      <c r="M332" s="152">
        <f t="shared" ca="1" si="158"/>
        <v>0</v>
      </c>
    </row>
    <row r="333" spans="1:13" ht="20" outlineLevel="1" x14ac:dyDescent="0.2">
      <c r="A333" s="101"/>
      <c r="B333" s="87" t="s">
        <v>156</v>
      </c>
      <c r="C333" s="9"/>
      <c r="D333" s="14"/>
      <c r="E333" s="14"/>
      <c r="F333" s="14"/>
      <c r="G333" s="14"/>
      <c r="H333" s="116"/>
      <c r="I333" s="152">
        <f ca="1">MIN(I321,0)</f>
        <v>0</v>
      </c>
      <c r="J333" s="152">
        <f t="shared" ref="J333:M333" ca="1" si="159">MIN(J321,0)</f>
        <v>0</v>
      </c>
      <c r="K333" s="152">
        <f t="shared" ca="1" si="159"/>
        <v>0</v>
      </c>
      <c r="L333" s="152">
        <f t="shared" ca="1" si="159"/>
        <v>0</v>
      </c>
      <c r="M333" s="152">
        <f t="shared" ca="1" si="159"/>
        <v>0</v>
      </c>
    </row>
    <row r="334" spans="1:13" ht="20" outlineLevel="1" x14ac:dyDescent="0.2">
      <c r="A334" s="101"/>
      <c r="B334" s="264" t="s">
        <v>157</v>
      </c>
      <c r="C334" s="9"/>
      <c r="D334" s="14"/>
      <c r="E334" s="14"/>
      <c r="F334" s="14"/>
      <c r="G334" s="14"/>
      <c r="H334" s="265"/>
      <c r="I334" s="158">
        <f ca="1">-MIN(I332,I321)*I314</f>
        <v>-2657</v>
      </c>
      <c r="J334" s="158">
        <f t="shared" ref="J334:M334" ca="1" si="160">-MIN(J332,J321)*J314</f>
        <v>0</v>
      </c>
      <c r="K334" s="158">
        <f t="shared" ca="1" si="160"/>
        <v>0</v>
      </c>
      <c r="L334" s="158">
        <f t="shared" ca="1" si="160"/>
        <v>0</v>
      </c>
      <c r="M334" s="158">
        <f t="shared" ca="1" si="160"/>
        <v>0</v>
      </c>
    </row>
    <row r="335" spans="1:13" ht="20" outlineLevel="1" x14ac:dyDescent="0.2">
      <c r="A335" s="101"/>
      <c r="B335" s="87" t="s">
        <v>140</v>
      </c>
      <c r="C335" s="9"/>
      <c r="D335" s="14"/>
      <c r="E335" s="14"/>
      <c r="F335" s="14"/>
      <c r="G335" s="14"/>
      <c r="H335" s="152">
        <f>Inputs!L56</f>
        <v>2657</v>
      </c>
      <c r="I335" s="152">
        <f ca="1">SUM(I332:I334)</f>
        <v>0</v>
      </c>
      <c r="J335" s="152">
        <f t="shared" ref="J335:M335" ca="1" si="161">SUM(J332:J334)</f>
        <v>0</v>
      </c>
      <c r="K335" s="152">
        <f t="shared" ca="1" si="161"/>
        <v>0</v>
      </c>
      <c r="L335" s="152">
        <f t="shared" ca="1" si="161"/>
        <v>0</v>
      </c>
      <c r="M335" s="152">
        <f t="shared" ca="1" si="161"/>
        <v>0</v>
      </c>
    </row>
    <row r="336" spans="1:13" ht="20" outlineLevel="1" x14ac:dyDescent="0.2">
      <c r="A336" s="101"/>
      <c r="B336" s="12"/>
      <c r="C336" s="9"/>
      <c r="D336" s="14"/>
      <c r="E336" s="14"/>
      <c r="F336" s="14"/>
      <c r="G336" s="14"/>
      <c r="H336" s="116"/>
      <c r="I336" s="116"/>
      <c r="J336" s="116"/>
      <c r="K336" s="116"/>
      <c r="L336" s="116"/>
      <c r="M336" s="116"/>
    </row>
    <row r="337" spans="1:13" ht="20" outlineLevel="1" x14ac:dyDescent="0.2">
      <c r="A337" s="101"/>
      <c r="B337" s="243"/>
      <c r="C337" s="155"/>
      <c r="D337" s="157"/>
      <c r="E337" s="157"/>
      <c r="F337" s="157"/>
      <c r="G337" s="157"/>
      <c r="H337" s="265"/>
      <c r="I337" s="265"/>
      <c r="J337" s="265"/>
      <c r="K337" s="265"/>
      <c r="L337" s="265"/>
      <c r="M337" s="265"/>
    </row>
    <row r="338" spans="1:13" ht="20" outlineLevel="1" x14ac:dyDescent="0.2">
      <c r="A338" s="101"/>
      <c r="B338" s="12"/>
      <c r="C338" s="9"/>
      <c r="D338" s="14"/>
      <c r="E338" s="14"/>
      <c r="F338" s="14"/>
      <c r="G338" s="14"/>
      <c r="H338" s="116"/>
      <c r="I338" s="116"/>
      <c r="J338" s="116"/>
      <c r="K338" s="116"/>
      <c r="L338" s="116"/>
      <c r="M338" s="116"/>
    </row>
    <row r="339" spans="1:13" ht="20" outlineLevel="1" x14ac:dyDescent="0.2">
      <c r="A339" s="101"/>
      <c r="B339" s="18" t="s">
        <v>158</v>
      </c>
      <c r="C339" s="9"/>
      <c r="D339" s="14"/>
      <c r="E339" s="14"/>
      <c r="F339" s="14"/>
      <c r="G339" s="14"/>
      <c r="H339" s="116"/>
      <c r="I339" s="116"/>
      <c r="J339" s="116"/>
      <c r="K339" s="116"/>
      <c r="L339" s="116"/>
      <c r="M339" s="116"/>
    </row>
    <row r="340" spans="1:13" ht="20" outlineLevel="1" x14ac:dyDescent="0.2">
      <c r="A340" s="101"/>
      <c r="B340" s="87" t="s">
        <v>159</v>
      </c>
      <c r="C340" s="9"/>
      <c r="D340" s="14"/>
      <c r="E340" s="14"/>
      <c r="F340" s="125"/>
      <c r="G340" s="125"/>
      <c r="H340" s="152"/>
      <c r="I340" s="152">
        <f ca="1">I329*$D$316</f>
        <v>2839.9246515176169</v>
      </c>
      <c r="J340" s="152">
        <f t="shared" ref="J340:M340" ca="1" si="162">J329*$D$316</f>
        <v>3308.7027129465014</v>
      </c>
      <c r="K340" s="152">
        <f t="shared" ca="1" si="162"/>
        <v>3507.0060680575575</v>
      </c>
      <c r="L340" s="152">
        <f t="shared" ca="1" si="162"/>
        <v>3658.1985114930662</v>
      </c>
      <c r="M340" s="152">
        <f t="shared" ca="1" si="162"/>
        <v>3672.9609901512035</v>
      </c>
    </row>
    <row r="341" spans="1:13" ht="20" outlineLevel="1" x14ac:dyDescent="0.2">
      <c r="A341" s="101"/>
      <c r="B341" s="87" t="s">
        <v>62</v>
      </c>
      <c r="C341" s="9"/>
      <c r="D341" s="14"/>
      <c r="E341" s="14"/>
      <c r="F341" s="14"/>
      <c r="G341" s="14"/>
      <c r="H341" s="116"/>
      <c r="I341" s="152">
        <f ca="1">I342-I340</f>
        <v>1529.8387500000003</v>
      </c>
      <c r="J341" s="152">
        <f t="shared" ref="J341:M341" ca="1" si="163">J342-J340</f>
        <v>869.96137499999986</v>
      </c>
      <c r="K341" s="152">
        <f t="shared" ca="1" si="163"/>
        <v>677.00998124999978</v>
      </c>
      <c r="L341" s="152">
        <f t="shared" ca="1" si="163"/>
        <v>499.13567156249837</v>
      </c>
      <c r="M341" s="152">
        <f t="shared" ca="1" si="163"/>
        <v>337.84563332812422</v>
      </c>
    </row>
    <row r="342" spans="1:13" ht="21" outlineLevel="1" thickBot="1" x14ac:dyDescent="0.25">
      <c r="A342" s="101"/>
      <c r="B342" s="87" t="s">
        <v>160</v>
      </c>
      <c r="C342" s="9"/>
      <c r="D342" s="14"/>
      <c r="E342" s="14"/>
      <c r="F342" s="14"/>
      <c r="G342" s="14"/>
      <c r="H342" s="116"/>
      <c r="I342" s="165">
        <f ca="1">I321*$D$316</f>
        <v>4369.7634015176172</v>
      </c>
      <c r="J342" s="165">
        <f t="shared" ref="J342:M342" ca="1" si="164">J321*$D$316</f>
        <v>4178.6640879465012</v>
      </c>
      <c r="K342" s="165">
        <f t="shared" ca="1" si="164"/>
        <v>4184.0160493075573</v>
      </c>
      <c r="L342" s="165">
        <f t="shared" ca="1" si="164"/>
        <v>4157.3341830555646</v>
      </c>
      <c r="M342" s="165">
        <f t="shared" ca="1" si="164"/>
        <v>4010.8066234793278</v>
      </c>
    </row>
    <row r="343" spans="1:13" ht="20" outlineLevel="1" x14ac:dyDescent="0.2">
      <c r="A343" s="101"/>
      <c r="B343" s="12"/>
      <c r="C343" s="9"/>
      <c r="D343" s="14"/>
      <c r="E343" s="14"/>
      <c r="F343" s="14"/>
      <c r="G343" s="14"/>
      <c r="H343" s="14"/>
      <c r="I343" s="103"/>
      <c r="J343" s="103"/>
      <c r="K343" s="103"/>
      <c r="L343" s="103"/>
      <c r="M343" s="103"/>
    </row>
    <row r="344" spans="1:13" ht="15" outlineLevel="1" x14ac:dyDescent="0.2">
      <c r="A344" s="1"/>
      <c r="B344" s="13"/>
      <c r="C344" s="13"/>
      <c r="D344" s="19"/>
      <c r="E344" s="19"/>
      <c r="F344" s="141"/>
      <c r="G344" s="141"/>
      <c r="H344" s="141"/>
      <c r="I344" s="266"/>
      <c r="J344" s="266"/>
      <c r="K344" s="266"/>
      <c r="L344" s="266"/>
      <c r="M344" s="266"/>
    </row>
    <row r="345" spans="1:13" ht="20" outlineLevel="1" x14ac:dyDescent="0.2">
      <c r="A345" s="101"/>
      <c r="B345" s="101"/>
      <c r="C345" s="9"/>
      <c r="D345" s="14"/>
      <c r="E345" s="14"/>
      <c r="F345" s="14"/>
      <c r="G345" s="14"/>
      <c r="H345" s="14"/>
      <c r="I345" s="103"/>
      <c r="J345" s="103"/>
      <c r="K345" s="103"/>
      <c r="L345" s="103"/>
      <c r="M345" s="193"/>
    </row>
    <row r="346" spans="1:13" ht="20" outlineLevel="1" x14ac:dyDescent="0.2">
      <c r="A346" s="101"/>
      <c r="B346" s="101"/>
      <c r="C346" s="9"/>
      <c r="D346" s="14"/>
      <c r="E346" s="14"/>
      <c r="F346" s="14"/>
      <c r="G346" s="14"/>
      <c r="H346" s="14"/>
      <c r="I346" s="103"/>
      <c r="J346" s="103"/>
      <c r="K346" s="103"/>
      <c r="L346" s="103"/>
      <c r="M346" s="245"/>
    </row>
    <row r="347" spans="1:13" ht="20" outlineLevel="1" x14ac:dyDescent="0.2">
      <c r="A347" s="101"/>
      <c r="B347" s="101"/>
      <c r="C347" s="9"/>
      <c r="D347" s="14"/>
      <c r="E347" s="14"/>
      <c r="F347" s="14"/>
      <c r="G347" s="14"/>
      <c r="H347" s="14"/>
      <c r="I347" s="103"/>
      <c r="J347" s="103"/>
      <c r="K347" s="103"/>
      <c r="L347" s="103"/>
      <c r="M347" s="267"/>
    </row>
    <row r="348" spans="1:13" ht="20" outlineLevel="1" x14ac:dyDescent="0.2">
      <c r="A348" s="101"/>
      <c r="B348" s="243"/>
      <c r="C348" s="155"/>
      <c r="D348" s="157"/>
      <c r="E348" s="157"/>
      <c r="F348" s="157"/>
      <c r="G348" s="157"/>
      <c r="H348" s="157"/>
      <c r="I348" s="244"/>
      <c r="J348" s="244"/>
      <c r="K348" s="244"/>
      <c r="L348" s="244"/>
      <c r="M348" s="244"/>
    </row>
    <row r="349" spans="1:13" ht="20" x14ac:dyDescent="0.2">
      <c r="A349" s="101"/>
      <c r="B349" s="12"/>
      <c r="C349" s="9"/>
      <c r="D349" s="14"/>
      <c r="E349" s="14"/>
      <c r="F349" s="14"/>
      <c r="G349" s="14"/>
      <c r="H349" s="14"/>
      <c r="I349" s="103"/>
      <c r="J349" s="103"/>
      <c r="K349" s="103"/>
      <c r="L349" s="103"/>
      <c r="M349" s="103"/>
    </row>
    <row r="350" spans="1:13" ht="20" x14ac:dyDescent="0.2">
      <c r="A350" s="101" t="s">
        <v>0</v>
      </c>
      <c r="B350" s="3" t="s">
        <v>190</v>
      </c>
      <c r="C350" s="4"/>
      <c r="D350" s="183"/>
      <c r="E350" s="183"/>
      <c r="F350" s="6"/>
      <c r="G350" s="6"/>
      <c r="H350" s="6"/>
      <c r="I350" s="184"/>
      <c r="J350" s="185"/>
      <c r="K350" s="185"/>
      <c r="L350" s="185"/>
      <c r="M350" s="185"/>
    </row>
    <row r="351" spans="1:13" ht="20" outlineLevel="1" x14ac:dyDescent="0.2">
      <c r="A351" s="101"/>
      <c r="B351" s="8"/>
      <c r="C351" s="9"/>
      <c r="D351" s="10"/>
      <c r="E351" s="10"/>
      <c r="F351" s="11"/>
      <c r="G351" s="11"/>
      <c r="H351" s="11"/>
      <c r="I351" s="11"/>
      <c r="J351" s="11"/>
      <c r="K351" s="11"/>
      <c r="L351" s="11"/>
      <c r="M351" s="11"/>
    </row>
    <row r="352" spans="1:13" ht="21" outlineLevel="1" thickBot="1" x14ac:dyDescent="0.25">
      <c r="A352" s="101"/>
      <c r="B352" s="12" t="s">
        <v>2</v>
      </c>
      <c r="C352" s="9"/>
      <c r="D352" s="14"/>
      <c r="E352" s="14"/>
      <c r="F352" s="14"/>
      <c r="G352" s="14"/>
      <c r="H352" s="298">
        <f>H5</f>
        <v>2022</v>
      </c>
      <c r="I352" s="297">
        <f>I5</f>
        <v>2023</v>
      </c>
      <c r="J352" s="297">
        <f t="shared" ref="J352:M352" si="165">J5</f>
        <v>2024</v>
      </c>
      <c r="K352" s="297">
        <f t="shared" si="165"/>
        <v>2025</v>
      </c>
      <c r="L352" s="297">
        <f t="shared" si="165"/>
        <v>2026</v>
      </c>
      <c r="M352" s="297">
        <f t="shared" si="165"/>
        <v>2027</v>
      </c>
    </row>
    <row r="353" spans="1:13" ht="15" outlineLevel="1" x14ac:dyDescent="0.2">
      <c r="A353" s="1"/>
      <c r="B353" s="12" t="str">
        <f>B6</f>
        <v>Model Running : Base Case Drivers</v>
      </c>
      <c r="C353" s="9"/>
      <c r="D353" s="14"/>
      <c r="E353" s="14"/>
      <c r="F353" s="14"/>
      <c r="G353" s="14"/>
      <c r="H353" s="14"/>
      <c r="I353" s="103"/>
      <c r="J353" s="103"/>
      <c r="K353" s="103"/>
      <c r="L353" s="103"/>
      <c r="M353" s="103"/>
    </row>
    <row r="354" spans="1:13" ht="20" outlineLevel="1" x14ac:dyDescent="0.2">
      <c r="A354" s="101"/>
      <c r="B354" s="12"/>
      <c r="C354" s="9"/>
      <c r="D354" s="14"/>
      <c r="E354" s="14"/>
      <c r="F354" s="14"/>
      <c r="G354" s="14"/>
      <c r="H354" s="14"/>
      <c r="I354" s="103"/>
      <c r="J354" s="103"/>
      <c r="K354" s="103"/>
      <c r="L354" s="103"/>
      <c r="M354" s="103"/>
    </row>
    <row r="355" spans="1:13" ht="20" outlineLevel="1" x14ac:dyDescent="0.2">
      <c r="A355" s="101"/>
      <c r="B355" s="12"/>
      <c r="C355" s="9"/>
      <c r="D355" s="14"/>
      <c r="E355" s="14"/>
      <c r="F355" s="14"/>
      <c r="G355" s="14"/>
      <c r="H355" s="14"/>
      <c r="I355" s="103"/>
      <c r="J355" s="103"/>
      <c r="K355" s="103"/>
      <c r="L355" s="103"/>
      <c r="M355" s="103"/>
    </row>
    <row r="356" spans="1:13" ht="15" outlineLevel="1" x14ac:dyDescent="0.2">
      <c r="A356" s="1"/>
      <c r="B356" s="18" t="s">
        <v>161</v>
      </c>
      <c r="C356" s="9"/>
      <c r="D356" s="14"/>
      <c r="E356" s="14"/>
      <c r="F356" s="14"/>
      <c r="G356" s="14"/>
      <c r="H356" s="14"/>
      <c r="I356" s="103"/>
      <c r="J356" s="103"/>
      <c r="K356" s="103"/>
      <c r="L356" s="103"/>
      <c r="M356" s="103"/>
    </row>
    <row r="357" spans="1:13" ht="15" outlineLevel="1" x14ac:dyDescent="0.2">
      <c r="A357" s="1"/>
      <c r="B357" s="18"/>
      <c r="C357" s="9"/>
      <c r="D357" s="14"/>
      <c r="E357" s="14"/>
      <c r="F357" s="14"/>
      <c r="G357" s="14"/>
      <c r="H357" s="14"/>
      <c r="I357" s="103"/>
      <c r="J357" s="103"/>
      <c r="K357" s="103"/>
      <c r="L357" s="103"/>
      <c r="M357" s="103"/>
    </row>
    <row r="358" spans="1:13" ht="15" outlineLevel="1" x14ac:dyDescent="0.2">
      <c r="A358" s="1"/>
      <c r="B358" s="87" t="s">
        <v>162</v>
      </c>
      <c r="C358" s="9"/>
      <c r="D358" s="14"/>
      <c r="E358" s="14"/>
      <c r="F358" s="14"/>
      <c r="G358" s="14"/>
      <c r="H358" s="152"/>
      <c r="I358" s="268">
        <f>H360</f>
        <v>8409.9991000000009</v>
      </c>
      <c r="J358" s="268">
        <f t="shared" ref="J358:M358" ca="1" si="166">I360</f>
        <v>0</v>
      </c>
      <c r="K358" s="268">
        <f t="shared" ca="1" si="166"/>
        <v>0</v>
      </c>
      <c r="L358" s="268">
        <f t="shared" ca="1" si="166"/>
        <v>0</v>
      </c>
      <c r="M358" s="268">
        <f t="shared" ca="1" si="166"/>
        <v>593.30281856515649</v>
      </c>
    </row>
    <row r="359" spans="1:13" ht="15" outlineLevel="1" x14ac:dyDescent="0.2">
      <c r="A359" s="1"/>
      <c r="B359" s="87" t="s">
        <v>18</v>
      </c>
      <c r="C359" s="9"/>
      <c r="D359" s="14"/>
      <c r="E359" s="14"/>
      <c r="F359" s="14"/>
      <c r="G359" s="14"/>
      <c r="H359" s="265"/>
      <c r="I359" s="269">
        <f ca="1">I70</f>
        <v>-8409.9991000000009</v>
      </c>
      <c r="J359" s="269">
        <f t="shared" ref="J359:M359" ca="1" si="167">J70</f>
        <v>0</v>
      </c>
      <c r="K359" s="269">
        <f t="shared" ca="1" si="167"/>
        <v>0</v>
      </c>
      <c r="L359" s="269">
        <f t="shared" ca="1" si="167"/>
        <v>593.30281856515649</v>
      </c>
      <c r="M359" s="269">
        <f t="shared" ca="1" si="167"/>
        <v>2350.0731932816398</v>
      </c>
    </row>
    <row r="360" spans="1:13" ht="15" outlineLevel="1" x14ac:dyDescent="0.2">
      <c r="A360" s="1"/>
      <c r="B360" s="87" t="s">
        <v>163</v>
      </c>
      <c r="C360" s="9"/>
      <c r="D360" s="14"/>
      <c r="E360" s="14"/>
      <c r="F360" s="14"/>
      <c r="G360" s="14"/>
      <c r="H360" s="268">
        <f>H82</f>
        <v>8409.9991000000009</v>
      </c>
      <c r="I360" s="268">
        <f ca="1">SUM(I358:I359)</f>
        <v>0</v>
      </c>
      <c r="J360" s="268">
        <f t="shared" ref="J360:M360" ca="1" si="168">SUM(J358:J359)</f>
        <v>0</v>
      </c>
      <c r="K360" s="268">
        <f t="shared" ca="1" si="168"/>
        <v>0</v>
      </c>
      <c r="L360" s="268">
        <f t="shared" ca="1" si="168"/>
        <v>593.30281856515649</v>
      </c>
      <c r="M360" s="268">
        <f t="shared" ca="1" si="168"/>
        <v>2943.3760118467962</v>
      </c>
    </row>
    <row r="361" spans="1:13" ht="15" outlineLevel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5" outlineLevel="1" x14ac:dyDescent="0.2">
      <c r="A362" s="1"/>
      <c r="B362" s="87" t="s">
        <v>164</v>
      </c>
      <c r="C362" s="9"/>
      <c r="D362" s="14"/>
      <c r="E362" s="14"/>
      <c r="F362" s="270"/>
      <c r="G362" s="14"/>
      <c r="H362" s="116"/>
      <c r="I362" s="271">
        <f>Inputs!$F$62</f>
        <v>0.01</v>
      </c>
      <c r="J362" s="271">
        <f>Inputs!$F$62</f>
        <v>0.01</v>
      </c>
      <c r="K362" s="271">
        <f>Inputs!$F$62</f>
        <v>0.01</v>
      </c>
      <c r="L362" s="271">
        <f>Inputs!$F$62</f>
        <v>0.01</v>
      </c>
      <c r="M362" s="271">
        <f>Inputs!$F$62</f>
        <v>0.01</v>
      </c>
    </row>
    <row r="363" spans="1:13" ht="15" outlineLevel="1" x14ac:dyDescent="0.2">
      <c r="A363" s="1"/>
      <c r="B363" s="87" t="s">
        <v>54</v>
      </c>
      <c r="C363" s="1"/>
      <c r="D363" s="1"/>
      <c r="E363" s="1"/>
      <c r="F363" s="300"/>
      <c r="G363" s="272"/>
      <c r="H363" s="1"/>
      <c r="I363" s="268">
        <f ca="1">AVERAGE(I358,I360)*I362</f>
        <v>42.049995500000009</v>
      </c>
      <c r="J363" s="268">
        <f ca="1">AVERAGE(J358,J360)*J362</f>
        <v>0</v>
      </c>
      <c r="K363" s="268">
        <f t="shared" ref="J363:M363" ca="1" si="169">AVERAGE(K358,K360)*K362</f>
        <v>0</v>
      </c>
      <c r="L363" s="268">
        <f t="shared" ca="1" si="169"/>
        <v>2.9665140928257823</v>
      </c>
      <c r="M363" s="268">
        <f t="shared" ca="1" si="169"/>
        <v>17.683394152059766</v>
      </c>
    </row>
    <row r="364" spans="1:13" ht="15" outlineLevel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5" outlineLevel="1" x14ac:dyDescent="0.2">
      <c r="A365" s="1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</row>
    <row r="366" spans="1:13" ht="15" outlineLevel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5" outlineLevel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5" outlineLevel="1" x14ac:dyDescent="0.2">
      <c r="A368" s="1"/>
      <c r="B368" s="18" t="s">
        <v>165</v>
      </c>
      <c r="C368" s="9"/>
      <c r="D368" s="14"/>
      <c r="E368" s="14"/>
      <c r="F368" s="14"/>
      <c r="G368" s="14"/>
      <c r="H368" s="14"/>
      <c r="I368" s="103"/>
      <c r="J368" s="103"/>
      <c r="K368" s="103"/>
      <c r="L368" s="103"/>
      <c r="M368" s="103"/>
    </row>
    <row r="369" spans="1:13" ht="15" outlineLevel="1" x14ac:dyDescent="0.2">
      <c r="A369" s="1"/>
      <c r="B369" s="18"/>
      <c r="C369" s="9"/>
      <c r="D369" s="14"/>
      <c r="E369" s="14"/>
      <c r="F369" s="14"/>
      <c r="G369" s="14"/>
      <c r="H369" s="14"/>
      <c r="I369" s="103"/>
      <c r="J369" s="103"/>
      <c r="K369" s="103"/>
      <c r="L369" s="103"/>
      <c r="M369" s="103"/>
    </row>
    <row r="370" spans="1:13" ht="15" outlineLevel="1" x14ac:dyDescent="0.2">
      <c r="A370" s="1"/>
      <c r="B370" s="87" t="s">
        <v>162</v>
      </c>
      <c r="C370" s="9"/>
      <c r="D370" s="14"/>
      <c r="E370" s="14"/>
      <c r="F370" s="14"/>
      <c r="G370" s="14"/>
      <c r="H370" s="152"/>
      <c r="I370" s="268">
        <f>H372</f>
        <v>20000</v>
      </c>
      <c r="J370" s="268">
        <f t="shared" ref="J370:M370" si="170">I372</f>
        <v>16000</v>
      </c>
      <c r="K370" s="268">
        <f t="shared" si="170"/>
        <v>12000</v>
      </c>
      <c r="L370" s="268">
        <f t="shared" si="170"/>
        <v>8000</v>
      </c>
      <c r="M370" s="268">
        <f t="shared" si="170"/>
        <v>4000</v>
      </c>
    </row>
    <row r="371" spans="1:13" ht="15" outlineLevel="1" x14ac:dyDescent="0.2">
      <c r="A371" s="1"/>
      <c r="B371" s="87" t="s">
        <v>18</v>
      </c>
      <c r="C371" s="9"/>
      <c r="D371" s="14"/>
      <c r="E371" s="14"/>
      <c r="F371" s="14"/>
      <c r="G371" s="14"/>
      <c r="H371" s="265"/>
      <c r="I371" s="158">
        <f>Inputs!H46</f>
        <v>-4000</v>
      </c>
      <c r="J371" s="158">
        <f>Inputs!I46</f>
        <v>-4000</v>
      </c>
      <c r="K371" s="158">
        <f>Inputs!J46</f>
        <v>-4000</v>
      </c>
      <c r="L371" s="158">
        <f>Inputs!K46</f>
        <v>-4000</v>
      </c>
      <c r="M371" s="158">
        <f>Inputs!L46</f>
        <v>-4000</v>
      </c>
    </row>
    <row r="372" spans="1:13" ht="15" outlineLevel="1" x14ac:dyDescent="0.2">
      <c r="A372" s="1"/>
      <c r="B372" s="87" t="s">
        <v>163</v>
      </c>
      <c r="C372" s="9"/>
      <c r="D372" s="14"/>
      <c r="E372" s="14"/>
      <c r="F372" s="14"/>
      <c r="G372" s="14"/>
      <c r="H372" s="268">
        <f>H100</f>
        <v>20000</v>
      </c>
      <c r="I372" s="268">
        <f>SUM(I370:I371)</f>
        <v>16000</v>
      </c>
      <c r="J372" s="268">
        <f t="shared" ref="J372:M372" si="171">SUM(J370:J371)</f>
        <v>12000</v>
      </c>
      <c r="K372" s="268">
        <f t="shared" si="171"/>
        <v>8000</v>
      </c>
      <c r="L372" s="268">
        <f t="shared" si="171"/>
        <v>4000</v>
      </c>
      <c r="M372" s="268">
        <f t="shared" si="171"/>
        <v>0</v>
      </c>
    </row>
    <row r="373" spans="1:13" ht="15" outlineLevel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5" outlineLevel="1" x14ac:dyDescent="0.2">
      <c r="A374" s="1"/>
      <c r="B374" s="87" t="s">
        <v>164</v>
      </c>
      <c r="C374" s="9"/>
      <c r="D374" s="14"/>
      <c r="E374" s="14"/>
      <c r="F374" s="14"/>
      <c r="G374" s="14"/>
      <c r="H374" s="116"/>
      <c r="I374" s="271">
        <f>Inputs!$F$64</f>
        <v>0.06</v>
      </c>
      <c r="J374" s="271">
        <f>Inputs!$F$64</f>
        <v>0.06</v>
      </c>
      <c r="K374" s="271">
        <f>Inputs!$F$64</f>
        <v>0.06</v>
      </c>
      <c r="L374" s="271">
        <f>Inputs!$F$64</f>
        <v>0.06</v>
      </c>
      <c r="M374" s="271">
        <f>Inputs!$F$64</f>
        <v>0.06</v>
      </c>
    </row>
    <row r="375" spans="1:13" ht="15" outlineLevel="1" x14ac:dyDescent="0.2">
      <c r="A375" s="1"/>
      <c r="B375" s="87" t="s">
        <v>53</v>
      </c>
      <c r="C375" s="1"/>
      <c r="D375" s="1"/>
      <c r="E375" s="1"/>
      <c r="F375" s="1"/>
      <c r="G375" s="1"/>
      <c r="H375" s="1"/>
      <c r="I375" s="268">
        <f>AVERAGE(I370,I372)*I374</f>
        <v>1080</v>
      </c>
      <c r="J375" s="268">
        <f t="shared" ref="J375:M375" si="172">AVERAGE(J370,J372)*J374</f>
        <v>840</v>
      </c>
      <c r="K375" s="268">
        <f t="shared" si="172"/>
        <v>600</v>
      </c>
      <c r="L375" s="268">
        <f t="shared" si="172"/>
        <v>360</v>
      </c>
      <c r="M375" s="268">
        <f t="shared" si="172"/>
        <v>120</v>
      </c>
    </row>
    <row r="376" spans="1:13" ht="15" outlineLevel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5" outlineLevel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5" outlineLevel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20" outlineLevel="1" x14ac:dyDescent="0.2">
      <c r="A379" s="101"/>
      <c r="B379" s="243"/>
      <c r="C379" s="155"/>
      <c r="D379" s="157"/>
      <c r="E379" s="157"/>
      <c r="F379" s="157"/>
      <c r="G379" s="157"/>
      <c r="H379" s="157"/>
      <c r="I379" s="244"/>
      <c r="J379" s="244"/>
      <c r="K379" s="244"/>
      <c r="L379" s="244"/>
      <c r="M379" s="244"/>
    </row>
    <row r="380" spans="1:13" ht="20" x14ac:dyDescent="0.2">
      <c r="A380" s="101"/>
      <c r="B380" s="12"/>
      <c r="C380" s="9"/>
      <c r="D380" s="14"/>
      <c r="E380" s="14"/>
      <c r="F380" s="14"/>
      <c r="G380" s="14"/>
      <c r="H380" s="14"/>
      <c r="I380" s="103"/>
      <c r="J380" s="103"/>
      <c r="K380" s="103"/>
      <c r="L380" s="103"/>
      <c r="M380" s="103"/>
    </row>
    <row r="381" spans="1:13" ht="20" x14ac:dyDescent="0.2">
      <c r="A381" s="101" t="s">
        <v>0</v>
      </c>
      <c r="B381" s="3" t="s">
        <v>191</v>
      </c>
      <c r="C381" s="4"/>
      <c r="D381" s="183"/>
      <c r="E381" s="183"/>
      <c r="F381" s="6"/>
      <c r="G381" s="6"/>
      <c r="H381" s="6"/>
      <c r="I381" s="184"/>
      <c r="J381" s="185"/>
      <c r="K381" s="185"/>
      <c r="L381" s="185"/>
      <c r="M381" s="185"/>
    </row>
    <row r="382" spans="1:13" ht="20" outlineLevel="1" x14ac:dyDescent="0.2">
      <c r="A382" s="101"/>
      <c r="B382" s="8"/>
      <c r="C382" s="9"/>
      <c r="D382" s="10"/>
      <c r="E382" s="10"/>
      <c r="F382" s="11"/>
      <c r="G382" s="11"/>
      <c r="H382" s="11"/>
      <c r="I382" s="11"/>
      <c r="J382" s="11"/>
      <c r="K382" s="11"/>
      <c r="L382" s="11"/>
      <c r="M382" s="11"/>
    </row>
    <row r="383" spans="1:13" ht="21" outlineLevel="1" thickBot="1" x14ac:dyDescent="0.25">
      <c r="A383" s="101"/>
      <c r="B383" s="12" t="s">
        <v>2</v>
      </c>
      <c r="C383" s="9"/>
      <c r="D383" s="14"/>
      <c r="E383" s="14"/>
      <c r="F383" s="14"/>
      <c r="G383" s="14"/>
      <c r="H383" s="298">
        <f>H5</f>
        <v>2022</v>
      </c>
      <c r="I383" s="297">
        <f>I5</f>
        <v>2023</v>
      </c>
      <c r="J383" s="297">
        <f t="shared" ref="J383:M383" si="173">J5</f>
        <v>2024</v>
      </c>
      <c r="K383" s="297">
        <f t="shared" si="173"/>
        <v>2025</v>
      </c>
      <c r="L383" s="297">
        <f t="shared" si="173"/>
        <v>2026</v>
      </c>
      <c r="M383" s="297">
        <f t="shared" si="173"/>
        <v>2027</v>
      </c>
    </row>
    <row r="384" spans="1:13" ht="15" outlineLevel="1" x14ac:dyDescent="0.2">
      <c r="A384" s="1"/>
      <c r="B384" s="12" t="str">
        <f>B6</f>
        <v>Model Running : Base Case Drivers</v>
      </c>
      <c r="C384" s="9"/>
      <c r="D384" s="14"/>
      <c r="E384" s="14"/>
      <c r="F384" s="14"/>
      <c r="G384" s="14"/>
      <c r="H384" s="14"/>
      <c r="I384" s="103"/>
      <c r="J384" s="103"/>
      <c r="K384" s="103"/>
      <c r="L384" s="103"/>
      <c r="M384" s="103"/>
    </row>
    <row r="385" spans="1:13" ht="15" outlineLevel="1" x14ac:dyDescent="0.2">
      <c r="A385" s="1"/>
      <c r="B385" s="12"/>
      <c r="C385" s="9"/>
      <c r="D385" s="14"/>
      <c r="E385" s="14"/>
      <c r="F385" s="14"/>
      <c r="G385" s="14"/>
      <c r="H385" s="14"/>
      <c r="I385" s="103"/>
      <c r="J385" s="103"/>
      <c r="K385" s="103"/>
      <c r="L385" s="103"/>
      <c r="M385" s="103"/>
    </row>
    <row r="386" spans="1:13" ht="15" outlineLevel="1" x14ac:dyDescent="0.2">
      <c r="A386" s="1"/>
      <c r="B386" s="12"/>
      <c r="C386" s="9"/>
      <c r="D386" s="14"/>
      <c r="E386" s="14"/>
      <c r="F386" s="14"/>
      <c r="G386" s="14"/>
      <c r="H386" s="14"/>
      <c r="I386" s="103"/>
      <c r="J386" s="103"/>
      <c r="K386" s="103"/>
      <c r="L386" s="103"/>
      <c r="M386" s="103"/>
    </row>
    <row r="387" spans="1:13" ht="15" outlineLevel="1" x14ac:dyDescent="0.2">
      <c r="A387" s="1"/>
      <c r="B387" s="18" t="s">
        <v>166</v>
      </c>
      <c r="C387" s="9"/>
      <c r="D387" s="1"/>
      <c r="E387" s="1"/>
      <c r="F387" s="1"/>
      <c r="G387" s="1"/>
      <c r="H387" s="14"/>
      <c r="I387" s="103"/>
      <c r="J387" s="103"/>
      <c r="K387" s="103"/>
      <c r="L387" s="103"/>
      <c r="M387" s="103"/>
    </row>
    <row r="388" spans="1:13" ht="15" outlineLevel="1" x14ac:dyDescent="0.2">
      <c r="A388" s="1"/>
      <c r="B388" s="18"/>
      <c r="C388" s="9"/>
      <c r="D388" s="1"/>
      <c r="E388" s="1"/>
      <c r="F388" s="1"/>
      <c r="G388" s="1"/>
      <c r="H388" s="14"/>
      <c r="I388" s="103"/>
      <c r="J388" s="103"/>
      <c r="K388" s="103"/>
      <c r="L388" s="103"/>
      <c r="M388" s="103"/>
    </row>
    <row r="389" spans="1:13" ht="15" outlineLevel="1" x14ac:dyDescent="0.2">
      <c r="A389" s="1"/>
      <c r="B389" s="87" t="s">
        <v>167</v>
      </c>
      <c r="C389" s="9"/>
      <c r="D389" s="1"/>
      <c r="E389" s="1"/>
      <c r="F389" s="1"/>
      <c r="G389" s="1"/>
      <c r="H389" s="152"/>
      <c r="I389" s="268">
        <f>I358</f>
        <v>8409.9991000000009</v>
      </c>
      <c r="J389" s="268">
        <f t="shared" ref="J389:M389" ca="1" si="174">J358</f>
        <v>0</v>
      </c>
      <c r="K389" s="268">
        <f t="shared" ca="1" si="174"/>
        <v>0</v>
      </c>
      <c r="L389" s="268">
        <f t="shared" ca="1" si="174"/>
        <v>0</v>
      </c>
      <c r="M389" s="268">
        <f t="shared" ca="1" si="174"/>
        <v>593.30281856515649</v>
      </c>
    </row>
    <row r="390" spans="1:13" ht="15" outlineLevel="1" x14ac:dyDescent="0.2">
      <c r="A390" s="1"/>
      <c r="B390" s="87" t="s">
        <v>168</v>
      </c>
      <c r="C390" s="9"/>
      <c r="D390" s="14"/>
      <c r="E390" s="14"/>
      <c r="F390" s="14"/>
      <c r="G390" s="14"/>
      <c r="H390" s="152"/>
      <c r="I390" s="268">
        <f ca="1">I52</f>
        <v>16527.625985056864</v>
      </c>
      <c r="J390" s="268">
        <f t="shared" ref="J390:M390" ca="1" si="175">J52</f>
        <v>16678.700840947193</v>
      </c>
      <c r="K390" s="268">
        <f t="shared" ca="1" si="175"/>
        <v>16854.716816523163</v>
      </c>
      <c r="L390" s="268">
        <f t="shared" ca="1" si="175"/>
        <v>17004.156346223983</v>
      </c>
      <c r="M390" s="268">
        <f t="shared" ca="1" si="175"/>
        <v>16909.282950905326</v>
      </c>
    </row>
    <row r="391" spans="1:13" ht="15" outlineLevel="1" x14ac:dyDescent="0.2">
      <c r="A391" s="1"/>
      <c r="B391" s="87" t="s">
        <v>169</v>
      </c>
      <c r="C391" s="9"/>
      <c r="D391" s="14"/>
      <c r="E391" s="14"/>
      <c r="F391" s="14"/>
      <c r="G391" s="14"/>
      <c r="H391" s="152"/>
      <c r="I391" s="268">
        <f>I57</f>
        <v>-25475</v>
      </c>
      <c r="J391" s="268">
        <f t="shared" ref="J391:M391" si="176">J57</f>
        <v>-7050</v>
      </c>
      <c r="K391" s="268">
        <f t="shared" si="176"/>
        <v>-7275</v>
      </c>
      <c r="L391" s="268">
        <f t="shared" si="176"/>
        <v>-7200</v>
      </c>
      <c r="M391" s="268">
        <f t="shared" si="176"/>
        <v>-7687.5</v>
      </c>
    </row>
    <row r="392" spans="1:13" ht="15" outlineLevel="1" x14ac:dyDescent="0.2">
      <c r="A392" s="1"/>
      <c r="B392" s="87" t="s">
        <v>69</v>
      </c>
      <c r="C392" s="1"/>
      <c r="D392" s="1"/>
      <c r="E392" s="1"/>
      <c r="F392" s="1"/>
      <c r="G392" s="1"/>
      <c r="H392" s="1"/>
      <c r="I392" s="268">
        <f>I61</f>
        <v>-4000</v>
      </c>
      <c r="J392" s="268">
        <f t="shared" ref="J392:M392" si="177">J61</f>
        <v>-4000</v>
      </c>
      <c r="K392" s="268">
        <f t="shared" si="177"/>
        <v>-4000</v>
      </c>
      <c r="L392" s="268">
        <f t="shared" si="177"/>
        <v>-4000</v>
      </c>
      <c r="M392" s="268">
        <f t="shared" si="177"/>
        <v>-4000</v>
      </c>
    </row>
    <row r="393" spans="1:13" ht="15" outlineLevel="1" x14ac:dyDescent="0.2">
      <c r="A393" s="1"/>
      <c r="B393" s="87" t="s">
        <v>71</v>
      </c>
      <c r="C393" s="1"/>
      <c r="D393" s="1"/>
      <c r="E393" s="1"/>
      <c r="F393" s="1"/>
      <c r="G393" s="1"/>
      <c r="H393" s="1"/>
      <c r="I393" s="268">
        <f>I63</f>
        <v>-1000</v>
      </c>
      <c r="J393" s="268">
        <f t="shared" ref="J393:M393" si="178">J63</f>
        <v>-1000</v>
      </c>
      <c r="K393" s="268">
        <f t="shared" si="178"/>
        <v>-1000</v>
      </c>
      <c r="L393" s="268">
        <f t="shared" si="178"/>
        <v>-1000</v>
      </c>
      <c r="M393" s="268">
        <f t="shared" si="178"/>
        <v>-1000</v>
      </c>
    </row>
    <row r="394" spans="1:13" ht="15" outlineLevel="1" x14ac:dyDescent="0.2">
      <c r="A394" s="1"/>
      <c r="B394" s="87" t="s">
        <v>72</v>
      </c>
      <c r="C394" s="1"/>
      <c r="D394" s="1"/>
      <c r="E394" s="1"/>
      <c r="F394" s="1"/>
      <c r="G394" s="1"/>
      <c r="H394" s="1"/>
      <c r="I394" s="269">
        <f ca="1">I64</f>
        <v>-2039.2229207082216</v>
      </c>
      <c r="J394" s="269">
        <f t="shared" ref="J394:M394" ca="1" si="179">J64</f>
        <v>-1950.0432410417009</v>
      </c>
      <c r="K394" s="269">
        <f t="shared" ca="1" si="179"/>
        <v>-1952.5408230101939</v>
      </c>
      <c r="L394" s="269">
        <f t="shared" ca="1" si="179"/>
        <v>-1940.0892854259307</v>
      </c>
      <c r="M394" s="269">
        <f t="shared" ca="1" si="179"/>
        <v>-1871.7097576236865</v>
      </c>
    </row>
    <row r="395" spans="1:13" ht="15" outlineLevel="1" x14ac:dyDescent="0.2">
      <c r="A395" s="1"/>
      <c r="B395" s="87" t="s">
        <v>170</v>
      </c>
      <c r="C395" s="1"/>
      <c r="D395" s="1"/>
      <c r="E395" s="1"/>
      <c r="F395" s="1"/>
      <c r="G395" s="1"/>
      <c r="H395" s="1"/>
      <c r="I395" s="268">
        <f ca="1">SUM(I389:I394)</f>
        <v>-7576.5978356513569</v>
      </c>
      <c r="J395" s="268">
        <f t="shared" ref="J395:M395" ca="1" si="180">SUM(J389:J394)</f>
        <v>2678.6575999054921</v>
      </c>
      <c r="K395" s="268">
        <f t="shared" ca="1" si="180"/>
        <v>2627.1759935129694</v>
      </c>
      <c r="L395" s="268">
        <f t="shared" ca="1" si="180"/>
        <v>2864.0670607980519</v>
      </c>
      <c r="M395" s="268">
        <f t="shared" ca="1" si="180"/>
        <v>2943.3760118467962</v>
      </c>
    </row>
    <row r="396" spans="1:13" ht="15" outlineLevel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5" outlineLevel="1" x14ac:dyDescent="0.2">
      <c r="A397" s="1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</row>
    <row r="398" spans="1:13" ht="15" outlineLevel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5" outlineLevel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5" outlineLevel="1" x14ac:dyDescent="0.2">
      <c r="A400" s="1"/>
      <c r="B400" s="18" t="s">
        <v>171</v>
      </c>
      <c r="C400" s="9"/>
      <c r="D400" s="1"/>
      <c r="E400" s="1"/>
      <c r="F400" s="1"/>
      <c r="G400" s="1"/>
      <c r="H400" s="14"/>
      <c r="I400" s="103"/>
      <c r="J400" s="103"/>
      <c r="K400" s="103"/>
      <c r="L400" s="103"/>
      <c r="M400" s="103"/>
    </row>
    <row r="401" spans="1:13" ht="15" outlineLevel="1" x14ac:dyDescent="0.2">
      <c r="A401" s="1"/>
      <c r="B401" s="18"/>
      <c r="C401" s="9"/>
      <c r="D401" s="1"/>
      <c r="E401" s="1"/>
      <c r="F401" s="1"/>
      <c r="G401" s="1"/>
      <c r="H401" s="14"/>
      <c r="I401" s="103"/>
      <c r="J401" s="103"/>
      <c r="K401" s="103"/>
      <c r="L401" s="103"/>
      <c r="M401" s="103"/>
    </row>
    <row r="402" spans="1:13" ht="15" outlineLevel="1" x14ac:dyDescent="0.2">
      <c r="A402" s="1"/>
      <c r="B402" s="87" t="s">
        <v>162</v>
      </c>
      <c r="C402" s="9"/>
      <c r="D402" s="14"/>
      <c r="E402" s="14"/>
      <c r="F402" s="14"/>
      <c r="G402" s="14"/>
      <c r="H402" s="152"/>
      <c r="I402" s="268">
        <f>H404</f>
        <v>0</v>
      </c>
      <c r="J402" s="268">
        <f t="shared" ref="J402:M402" ca="1" si="181">I404</f>
        <v>7576.5978356513569</v>
      </c>
      <c r="K402" s="268">
        <f t="shared" ca="1" si="181"/>
        <v>4897.9402357458648</v>
      </c>
      <c r="L402" s="268">
        <f t="shared" ca="1" si="181"/>
        <v>2270.7642422328954</v>
      </c>
      <c r="M402" s="268">
        <f t="shared" ca="1" si="181"/>
        <v>0</v>
      </c>
    </row>
    <row r="403" spans="1:13" ht="15" outlineLevel="1" x14ac:dyDescent="0.2">
      <c r="A403" s="1"/>
      <c r="B403" s="87" t="s">
        <v>18</v>
      </c>
      <c r="C403" s="9"/>
      <c r="D403" s="14"/>
      <c r="E403" s="14"/>
      <c r="F403" s="14"/>
      <c r="G403" s="14"/>
      <c r="H403" s="265"/>
      <c r="I403" s="269">
        <f ca="1">MIN(I402,I395)*-1</f>
        <v>7576.5978356513569</v>
      </c>
      <c r="J403" s="269">
        <f ca="1">MIN(J402,J395)*-1</f>
        <v>-2678.6575999054921</v>
      </c>
      <c r="K403" s="269">
        <f t="shared" ref="J403:M403" ca="1" si="182">MIN(K402,K395)*-1</f>
        <v>-2627.1759935129694</v>
      </c>
      <c r="L403" s="269">
        <f t="shared" ca="1" si="182"/>
        <v>-2270.7642422328954</v>
      </c>
      <c r="M403" s="269">
        <f t="shared" ca="1" si="182"/>
        <v>0</v>
      </c>
    </row>
    <row r="404" spans="1:13" ht="15" outlineLevel="1" x14ac:dyDescent="0.2">
      <c r="A404" s="1"/>
      <c r="B404" s="87" t="s">
        <v>163</v>
      </c>
      <c r="C404" s="9"/>
      <c r="D404" s="14"/>
      <c r="E404" s="14"/>
      <c r="F404" s="14"/>
      <c r="G404" s="14"/>
      <c r="H404" s="268">
        <f>H96</f>
        <v>0</v>
      </c>
      <c r="I404" s="268">
        <f ca="1">SUM(I402:I403)</f>
        <v>7576.5978356513569</v>
      </c>
      <c r="J404" s="268">
        <f t="shared" ref="J404:M404" ca="1" si="183">SUM(J402:J403)</f>
        <v>4897.9402357458648</v>
      </c>
      <c r="K404" s="268">
        <f t="shared" ca="1" si="183"/>
        <v>2270.7642422328954</v>
      </c>
      <c r="L404" s="268">
        <f t="shared" ca="1" si="183"/>
        <v>0</v>
      </c>
      <c r="M404" s="268">
        <f t="shared" ca="1" si="183"/>
        <v>0</v>
      </c>
    </row>
    <row r="405" spans="1:13" ht="15" outlineLevel="1" x14ac:dyDescent="0.2">
      <c r="A405" s="1"/>
      <c r="B405" s="87"/>
      <c r="C405" s="9"/>
      <c r="D405" s="14"/>
      <c r="E405" s="14"/>
      <c r="F405" s="14"/>
      <c r="G405" s="14"/>
      <c r="H405" s="152"/>
      <c r="I405" s="152"/>
      <c r="J405" s="152"/>
      <c r="K405" s="152"/>
      <c r="L405" s="152"/>
      <c r="M405" s="152"/>
    </row>
    <row r="406" spans="1:13" ht="15" outlineLevel="1" x14ac:dyDescent="0.2">
      <c r="A406" s="1"/>
      <c r="B406" s="87" t="s">
        <v>164</v>
      </c>
      <c r="C406" s="9"/>
      <c r="D406" s="14"/>
      <c r="E406" s="14"/>
      <c r="F406" s="270"/>
      <c r="G406" s="14"/>
      <c r="H406" s="116"/>
      <c r="I406" s="271">
        <f>Inputs!$F$63</f>
        <v>0.05</v>
      </c>
      <c r="J406" s="271">
        <f>Inputs!$F$63</f>
        <v>0.05</v>
      </c>
      <c r="K406" s="271">
        <f>Inputs!$F$63</f>
        <v>0.05</v>
      </c>
      <c r="L406" s="271">
        <f>Inputs!$F$63</f>
        <v>0.05</v>
      </c>
      <c r="M406" s="271">
        <f>Inputs!$F$63</f>
        <v>0.05</v>
      </c>
    </row>
    <row r="407" spans="1:13" ht="15" outlineLevel="1" x14ac:dyDescent="0.2">
      <c r="A407" s="1"/>
      <c r="B407" s="87" t="s">
        <v>53</v>
      </c>
      <c r="C407" s="301"/>
      <c r="D407" s="301"/>
      <c r="E407" s="301"/>
      <c r="F407" s="300"/>
      <c r="G407" s="272"/>
      <c r="H407" s="1"/>
      <c r="I407" s="268">
        <f ca="1">AVERAGE(I402,I404)*I406</f>
        <v>189.41494589128393</v>
      </c>
      <c r="J407" s="268">
        <f t="shared" ref="J407:M407" ca="1" si="184">AVERAGE(J402,J404)*J406</f>
        <v>311.86345178493059</v>
      </c>
      <c r="K407" s="268">
        <f t="shared" ca="1" si="184"/>
        <v>179.21761194946902</v>
      </c>
      <c r="L407" s="268">
        <f t="shared" ca="1" si="184"/>
        <v>56.769106055822391</v>
      </c>
      <c r="M407" s="268">
        <f t="shared" ca="1" si="184"/>
        <v>0</v>
      </c>
    </row>
    <row r="408" spans="1:13" ht="15" outlineLevel="1" x14ac:dyDescent="0.2">
      <c r="A408" s="1"/>
      <c r="B408" s="87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</row>
    <row r="409" spans="1:13" ht="15" outlineLevel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5" outlineLevel="1" x14ac:dyDescent="0.2">
      <c r="A410" s="1"/>
      <c r="B410" s="87"/>
      <c r="C410" s="1"/>
      <c r="D410" s="1"/>
      <c r="E410" s="1"/>
      <c r="F410" s="1"/>
      <c r="G410" s="1"/>
      <c r="H410" s="1"/>
      <c r="I410" s="152"/>
      <c r="J410" s="152"/>
      <c r="K410" s="152"/>
      <c r="L410" s="152"/>
      <c r="M410" s="152"/>
    </row>
    <row r="411" spans="1:13" ht="15" outlineLevel="1" x14ac:dyDescent="0.2">
      <c r="A411" s="1"/>
      <c r="B411" s="87" t="s">
        <v>53</v>
      </c>
      <c r="C411" s="1"/>
      <c r="D411" s="1"/>
      <c r="E411" s="1"/>
      <c r="F411" s="1"/>
      <c r="G411" s="1"/>
      <c r="H411" s="1"/>
      <c r="I411" s="268">
        <f ca="1">I407+I375</f>
        <v>1269.4149458912839</v>
      </c>
      <c r="J411" s="268">
        <f t="shared" ref="J411:M411" ca="1" si="185">J407+J375</f>
        <v>1151.8634517849305</v>
      </c>
      <c r="K411" s="268">
        <f t="shared" ca="1" si="185"/>
        <v>779.21761194946907</v>
      </c>
      <c r="L411" s="268">
        <f t="shared" ca="1" si="185"/>
        <v>416.76910605582236</v>
      </c>
      <c r="M411" s="268">
        <f t="shared" ca="1" si="185"/>
        <v>120</v>
      </c>
    </row>
    <row r="412" spans="1:13" ht="15" outlineLevel="1" x14ac:dyDescent="0.2">
      <c r="A412" s="1"/>
      <c r="B412" s="87" t="s">
        <v>172</v>
      </c>
      <c r="C412" s="1"/>
      <c r="D412" s="1"/>
      <c r="E412" s="1"/>
      <c r="F412" s="1"/>
      <c r="G412" s="1"/>
      <c r="H412" s="1"/>
      <c r="I412" s="268">
        <f ca="1">-I363</f>
        <v>-42.049995500000009</v>
      </c>
      <c r="J412" s="268">
        <f t="shared" ref="J412:M412" ca="1" si="186">-J363</f>
        <v>0</v>
      </c>
      <c r="K412" s="268">
        <f t="shared" ca="1" si="186"/>
        <v>0</v>
      </c>
      <c r="L412" s="268">
        <f t="shared" ca="1" si="186"/>
        <v>-2.9665140928257823</v>
      </c>
      <c r="M412" s="268">
        <f t="shared" ca="1" si="186"/>
        <v>-17.683394152059766</v>
      </c>
    </row>
    <row r="413" spans="1:13" ht="16" outlineLevel="1" thickBot="1" x14ac:dyDescent="0.25">
      <c r="A413" s="1"/>
      <c r="B413" s="87" t="s">
        <v>173</v>
      </c>
      <c r="C413" s="1"/>
      <c r="D413" s="1"/>
      <c r="E413" s="1"/>
      <c r="F413" s="1"/>
      <c r="G413" s="1"/>
      <c r="H413" s="1"/>
      <c r="I413" s="273">
        <f ca="1">SUM(I411:I412)</f>
        <v>1227.3649503912839</v>
      </c>
      <c r="J413" s="273">
        <f t="shared" ref="J413:M413" ca="1" si="187">SUM(J411:J412)</f>
        <v>1151.8634517849305</v>
      </c>
      <c r="K413" s="273">
        <f t="shared" ca="1" si="187"/>
        <v>779.21761194946907</v>
      </c>
      <c r="L413" s="273">
        <f t="shared" ca="1" si="187"/>
        <v>413.80259196299659</v>
      </c>
      <c r="M413" s="273">
        <f t="shared" ca="1" si="187"/>
        <v>102.31660584794024</v>
      </c>
    </row>
    <row r="414" spans="1:13" ht="15" outlineLevel="1" x14ac:dyDescent="0.2">
      <c r="A414" s="1"/>
      <c r="B414" s="12"/>
      <c r="C414" s="9"/>
      <c r="D414" s="14"/>
      <c r="E414" s="14"/>
      <c r="F414" s="14"/>
      <c r="G414" s="14"/>
      <c r="H414" s="14"/>
      <c r="I414" s="103"/>
      <c r="J414" s="103"/>
      <c r="K414" s="103"/>
      <c r="L414" s="103"/>
      <c r="M414" s="103"/>
    </row>
    <row r="415" spans="1:13" ht="15" outlineLevel="1" x14ac:dyDescent="0.2">
      <c r="A415" s="1"/>
      <c r="B415" s="12"/>
      <c r="C415" s="9"/>
      <c r="D415" s="14"/>
      <c r="E415" s="14"/>
      <c r="F415" s="14"/>
      <c r="G415" s="14"/>
      <c r="H415" s="14"/>
      <c r="I415" s="103"/>
      <c r="J415" s="103"/>
      <c r="K415" s="103"/>
      <c r="L415" s="103"/>
      <c r="M415" s="103"/>
    </row>
    <row r="416" spans="1:13" ht="20" outlineLevel="1" x14ac:dyDescent="0.2">
      <c r="A416" s="101"/>
      <c r="B416" s="12"/>
      <c r="C416" s="9"/>
      <c r="D416" s="14"/>
      <c r="E416" s="14"/>
      <c r="F416" s="14"/>
      <c r="G416" s="14"/>
      <c r="H416" s="14"/>
      <c r="I416" s="103"/>
      <c r="J416" s="103"/>
      <c r="K416" s="103"/>
      <c r="L416" s="103"/>
      <c r="M416" s="103"/>
    </row>
    <row r="417" spans="1:13" ht="20" outlineLevel="1" x14ac:dyDescent="0.2">
      <c r="A417" s="101"/>
      <c r="B417" s="243"/>
      <c r="C417" s="155"/>
      <c r="D417" s="157"/>
      <c r="E417" s="157"/>
      <c r="F417" s="157"/>
      <c r="G417" s="157"/>
      <c r="H417" s="157"/>
      <c r="I417" s="244"/>
      <c r="J417" s="244"/>
      <c r="K417" s="244"/>
      <c r="L417" s="244"/>
      <c r="M417" s="244"/>
    </row>
    <row r="418" spans="1:13" ht="20" x14ac:dyDescent="0.2">
      <c r="A418" s="101"/>
      <c r="B418" s="12"/>
      <c r="C418" s="9"/>
      <c r="D418" s="14"/>
      <c r="E418" s="14"/>
      <c r="F418" s="14"/>
      <c r="G418" s="14"/>
      <c r="H418" s="14"/>
      <c r="I418" s="103"/>
      <c r="J418" s="103"/>
      <c r="K418" s="103"/>
      <c r="L418" s="103"/>
      <c r="M418" s="103"/>
    </row>
    <row r="419" spans="1:13" ht="20" x14ac:dyDescent="0.2">
      <c r="A419" s="101" t="s">
        <v>0</v>
      </c>
      <c r="B419" s="3" t="s">
        <v>192</v>
      </c>
      <c r="C419" s="4"/>
      <c r="D419" s="183"/>
      <c r="E419" s="183"/>
      <c r="F419" s="6"/>
      <c r="G419" s="6"/>
      <c r="H419" s="6"/>
      <c r="I419" s="184"/>
      <c r="J419" s="185"/>
      <c r="K419" s="185"/>
      <c r="L419" s="185"/>
      <c r="M419" s="185"/>
    </row>
    <row r="420" spans="1:13" ht="20" outlineLevel="1" x14ac:dyDescent="0.2">
      <c r="A420" s="101"/>
      <c r="B420" s="8"/>
      <c r="C420" s="9"/>
      <c r="D420" s="10"/>
      <c r="E420" s="10"/>
      <c r="F420" s="11"/>
      <c r="G420" s="11"/>
      <c r="H420" s="11"/>
      <c r="I420" s="11"/>
      <c r="J420" s="11"/>
      <c r="K420" s="11"/>
      <c r="L420" s="11"/>
      <c r="M420" s="11"/>
    </row>
    <row r="421" spans="1:13" ht="21" outlineLevel="1" thickBot="1" x14ac:dyDescent="0.25">
      <c r="A421" s="101"/>
      <c r="B421" s="12" t="s">
        <v>2</v>
      </c>
      <c r="C421" s="9"/>
      <c r="D421" s="14"/>
      <c r="E421" s="14"/>
      <c r="F421" s="14"/>
      <c r="G421" s="14"/>
      <c r="H421" s="298">
        <f>H5</f>
        <v>2022</v>
      </c>
      <c r="I421" s="297">
        <f>I5</f>
        <v>2023</v>
      </c>
      <c r="J421" s="297">
        <f t="shared" ref="J421:M421" si="188">J5</f>
        <v>2024</v>
      </c>
      <c r="K421" s="297">
        <f t="shared" si="188"/>
        <v>2025</v>
      </c>
      <c r="L421" s="297">
        <f t="shared" si="188"/>
        <v>2026</v>
      </c>
      <c r="M421" s="297">
        <f t="shared" si="188"/>
        <v>2027</v>
      </c>
    </row>
    <row r="422" spans="1:13" ht="15" outlineLevel="1" x14ac:dyDescent="0.2">
      <c r="A422" s="1"/>
      <c r="B422" s="12" t="str">
        <f>B6</f>
        <v>Model Running : Base Case Drivers</v>
      </c>
      <c r="C422" s="9"/>
      <c r="D422" s="14"/>
      <c r="E422" s="14"/>
      <c r="F422" s="14"/>
      <c r="G422" s="14"/>
      <c r="H422" s="14"/>
      <c r="I422" s="103"/>
      <c r="J422" s="103"/>
      <c r="K422" s="103"/>
      <c r="L422" s="103"/>
      <c r="M422" s="103"/>
    </row>
    <row r="423" spans="1:13" ht="20" outlineLevel="1" x14ac:dyDescent="0.2">
      <c r="A423" s="101"/>
      <c r="B423" s="12"/>
      <c r="C423" s="9"/>
      <c r="D423" s="14"/>
      <c r="E423" s="14"/>
      <c r="F423" s="14"/>
      <c r="G423" s="14"/>
      <c r="H423" s="14"/>
      <c r="I423" s="103"/>
      <c r="J423" s="103"/>
      <c r="K423" s="103"/>
      <c r="L423" s="103"/>
      <c r="M423" s="103"/>
    </row>
    <row r="424" spans="1:13" ht="20" outlineLevel="1" x14ac:dyDescent="0.2">
      <c r="A424" s="101"/>
      <c r="B424" s="18"/>
      <c r="C424" s="9"/>
      <c r="D424" s="14"/>
      <c r="E424" s="14"/>
      <c r="F424" s="14"/>
      <c r="G424" s="14"/>
      <c r="H424" s="14"/>
      <c r="I424" s="103"/>
      <c r="J424" s="103"/>
      <c r="K424" s="103"/>
      <c r="L424" s="103"/>
      <c r="M424" s="103"/>
    </row>
    <row r="425" spans="1:13" ht="15" outlineLevel="1" x14ac:dyDescent="0.2">
      <c r="A425" s="1"/>
      <c r="B425" s="18" t="s">
        <v>174</v>
      </c>
      <c r="C425" s="9"/>
      <c r="D425" s="14"/>
      <c r="E425" s="14"/>
      <c r="F425" s="14"/>
      <c r="G425" s="14"/>
      <c r="H425" s="14"/>
      <c r="I425" s="103"/>
      <c r="J425" s="103"/>
      <c r="K425" s="103"/>
      <c r="L425" s="103"/>
      <c r="M425" s="103"/>
    </row>
    <row r="426" spans="1:13" ht="15" outlineLevel="1" x14ac:dyDescent="0.2">
      <c r="A426" s="1"/>
      <c r="B426" s="18"/>
      <c r="C426" s="9"/>
      <c r="D426" s="14"/>
      <c r="E426" s="14"/>
      <c r="F426" s="14"/>
      <c r="G426" s="14"/>
      <c r="H426" s="14"/>
      <c r="I426" s="103"/>
      <c r="J426" s="103"/>
      <c r="K426" s="103"/>
      <c r="L426" s="103"/>
      <c r="M426" s="103"/>
    </row>
    <row r="427" spans="1:13" ht="15" outlineLevel="1" x14ac:dyDescent="0.2">
      <c r="A427" s="1"/>
      <c r="B427" s="87" t="s">
        <v>162</v>
      </c>
      <c r="C427" s="9"/>
      <c r="D427" s="14"/>
      <c r="E427" s="14"/>
      <c r="F427" s="14"/>
      <c r="G427" s="14"/>
      <c r="H427" s="152"/>
      <c r="I427" s="268">
        <f>H429</f>
        <v>38669.700000000099</v>
      </c>
      <c r="J427" s="268">
        <f t="shared" ref="J427:M427" si="189">I429</f>
        <v>37669.700000000099</v>
      </c>
      <c r="K427" s="268">
        <f t="shared" si="189"/>
        <v>36669.700000000099</v>
      </c>
      <c r="L427" s="268">
        <f t="shared" si="189"/>
        <v>35669.700000000099</v>
      </c>
      <c r="M427" s="268">
        <f t="shared" si="189"/>
        <v>34669.700000000099</v>
      </c>
    </row>
    <row r="428" spans="1:13" ht="15" outlineLevel="1" x14ac:dyDescent="0.2">
      <c r="A428" s="1"/>
      <c r="B428" s="87" t="s">
        <v>18</v>
      </c>
      <c r="C428" s="9"/>
      <c r="D428" s="14"/>
      <c r="E428" s="14"/>
      <c r="F428" s="14"/>
      <c r="G428" s="14"/>
      <c r="H428" s="265"/>
      <c r="I428" s="158">
        <f>Inputs!H47</f>
        <v>-1000</v>
      </c>
      <c r="J428" s="158">
        <f>Inputs!I47</f>
        <v>-1000</v>
      </c>
      <c r="K428" s="158">
        <f>Inputs!J47</f>
        <v>-1000</v>
      </c>
      <c r="L428" s="158">
        <f>Inputs!K47</f>
        <v>-1000</v>
      </c>
      <c r="M428" s="158">
        <f>Inputs!L47</f>
        <v>-1000</v>
      </c>
    </row>
    <row r="429" spans="1:13" ht="15" outlineLevel="1" x14ac:dyDescent="0.2">
      <c r="A429" s="1"/>
      <c r="B429" s="87" t="s">
        <v>163</v>
      </c>
      <c r="C429" s="9"/>
      <c r="D429" s="14"/>
      <c r="E429" s="14"/>
      <c r="F429" s="14"/>
      <c r="G429" s="14"/>
      <c r="H429" s="268">
        <f>H106</f>
        <v>38669.700000000099</v>
      </c>
      <c r="I429" s="268">
        <f>SUM(I427:I428)</f>
        <v>37669.700000000099</v>
      </c>
      <c r="J429" s="268">
        <f t="shared" ref="J429:M429" si="190">SUM(J427:J428)</f>
        <v>36669.700000000099</v>
      </c>
      <c r="K429" s="268">
        <f t="shared" si="190"/>
        <v>35669.700000000099</v>
      </c>
      <c r="L429" s="268">
        <f t="shared" si="190"/>
        <v>34669.700000000099</v>
      </c>
      <c r="M429" s="268">
        <f t="shared" si="190"/>
        <v>33669.700000000099</v>
      </c>
    </row>
    <row r="430" spans="1:13" ht="15" outlineLevel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5" outlineLevel="1" x14ac:dyDescent="0.2">
      <c r="A431" s="1"/>
      <c r="B431" s="87" t="s">
        <v>59</v>
      </c>
      <c r="C431" s="9"/>
      <c r="D431" s="14"/>
      <c r="E431" s="14"/>
      <c r="F431" s="14"/>
      <c r="G431" s="14"/>
      <c r="H431" s="152"/>
      <c r="I431" s="268">
        <f ca="1">I35</f>
        <v>10196.114603541107</v>
      </c>
      <c r="J431" s="268">
        <f t="shared" ref="J431:M431" ca="1" si="191">J35</f>
        <v>9750.2162052085041</v>
      </c>
      <c r="K431" s="268">
        <f t="shared" ca="1" si="191"/>
        <v>9762.7041150509685</v>
      </c>
      <c r="L431" s="268">
        <f t="shared" ca="1" si="191"/>
        <v>9700.4464271296529</v>
      </c>
      <c r="M431" s="268">
        <f t="shared" ca="1" si="191"/>
        <v>9358.5487881184326</v>
      </c>
    </row>
    <row r="432" spans="1:13" ht="15" outlineLevel="1" x14ac:dyDescent="0.2">
      <c r="A432" s="1"/>
      <c r="B432" s="87" t="s">
        <v>175</v>
      </c>
      <c r="C432" s="9"/>
      <c r="D432" s="14"/>
      <c r="E432" s="14"/>
      <c r="F432" s="14"/>
      <c r="G432" s="14"/>
      <c r="H432" s="152"/>
      <c r="I432" s="271">
        <f>Inputs!$F$58</f>
        <v>0.2</v>
      </c>
      <c r="J432" s="271">
        <f>Inputs!$F$58</f>
        <v>0.2</v>
      </c>
      <c r="K432" s="271">
        <f>Inputs!$F$58</f>
        <v>0.2</v>
      </c>
      <c r="L432" s="271">
        <f>Inputs!$F$58</f>
        <v>0.2</v>
      </c>
      <c r="M432" s="271">
        <f>Inputs!$F$58</f>
        <v>0.2</v>
      </c>
    </row>
    <row r="433" spans="1:13" ht="15" outlineLevel="1" x14ac:dyDescent="0.2">
      <c r="A433" s="1"/>
      <c r="B433" s="87" t="s">
        <v>176</v>
      </c>
      <c r="C433" s="9"/>
      <c r="D433" s="14"/>
      <c r="E433" s="14"/>
      <c r="F433" s="14"/>
      <c r="G433" s="14"/>
      <c r="H433" s="152"/>
      <c r="I433" s="268">
        <f ca="1">I431*I432</f>
        <v>2039.2229207082216</v>
      </c>
      <c r="J433" s="268">
        <f t="shared" ref="J433:M433" ca="1" si="192">J431*J432</f>
        <v>1950.0432410417009</v>
      </c>
      <c r="K433" s="268">
        <f t="shared" ca="1" si="192"/>
        <v>1952.5408230101939</v>
      </c>
      <c r="L433" s="268">
        <f t="shared" ca="1" si="192"/>
        <v>1940.0892854259307</v>
      </c>
      <c r="M433" s="268">
        <f t="shared" ca="1" si="192"/>
        <v>1871.7097576236865</v>
      </c>
    </row>
    <row r="434" spans="1:13" ht="15" outlineLevel="1" x14ac:dyDescent="0.2">
      <c r="A434" s="1"/>
      <c r="B434" s="87"/>
      <c r="C434" s="9"/>
      <c r="D434" s="14"/>
      <c r="E434" s="14"/>
      <c r="F434" s="14"/>
      <c r="G434" s="14"/>
      <c r="H434" s="152"/>
      <c r="I434" s="152"/>
      <c r="J434" s="152"/>
      <c r="K434" s="152"/>
      <c r="L434" s="152"/>
      <c r="M434" s="152"/>
    </row>
    <row r="435" spans="1:13" ht="15" outlineLevel="1" x14ac:dyDescent="0.2">
      <c r="A435" s="1"/>
      <c r="B435" s="274"/>
      <c r="C435" s="155"/>
      <c r="D435" s="157"/>
      <c r="E435" s="157"/>
      <c r="F435" s="157"/>
      <c r="G435" s="157"/>
      <c r="H435" s="158"/>
      <c r="I435" s="158"/>
      <c r="J435" s="158"/>
      <c r="K435" s="158"/>
      <c r="L435" s="158"/>
      <c r="M435" s="158"/>
    </row>
    <row r="436" spans="1:13" ht="15" outlineLevel="1" x14ac:dyDescent="0.2">
      <c r="A436" s="1"/>
      <c r="B436" s="87"/>
      <c r="C436" s="9"/>
      <c r="D436" s="14"/>
      <c r="E436" s="14"/>
      <c r="F436" s="14"/>
      <c r="G436" s="14"/>
      <c r="H436" s="152"/>
      <c r="I436" s="152"/>
      <c r="J436" s="152"/>
      <c r="K436" s="152"/>
      <c r="L436" s="152"/>
      <c r="M436" s="152"/>
    </row>
    <row r="437" spans="1:13" ht="15" outlineLevel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5" outlineLevel="1" x14ac:dyDescent="0.2">
      <c r="A438" s="1"/>
      <c r="B438" s="18" t="s">
        <v>177</v>
      </c>
      <c r="C438" s="9"/>
      <c r="D438" s="14"/>
      <c r="E438" s="14"/>
      <c r="F438" s="14"/>
      <c r="G438" s="14"/>
      <c r="H438" s="14"/>
      <c r="I438" s="103"/>
      <c r="J438" s="103"/>
      <c r="K438" s="103"/>
      <c r="L438" s="103"/>
      <c r="M438" s="103"/>
    </row>
    <row r="439" spans="1:13" ht="15" outlineLevel="1" x14ac:dyDescent="0.2">
      <c r="A439" s="1"/>
      <c r="B439" s="18"/>
      <c r="C439" s="9"/>
      <c r="D439" s="14"/>
      <c r="E439" s="14"/>
      <c r="F439" s="14"/>
      <c r="G439" s="14"/>
      <c r="H439" s="14"/>
      <c r="I439" s="103"/>
      <c r="J439" s="103"/>
      <c r="K439" s="103"/>
      <c r="L439" s="103"/>
      <c r="M439" s="103"/>
    </row>
    <row r="440" spans="1:13" ht="15" outlineLevel="1" x14ac:dyDescent="0.2">
      <c r="A440" s="1"/>
      <c r="B440" s="87" t="s">
        <v>162</v>
      </c>
      <c r="C440" s="9"/>
      <c r="D440" s="14"/>
      <c r="E440" s="14"/>
      <c r="F440" s="14"/>
      <c r="G440" s="14"/>
      <c r="H440" s="152"/>
      <c r="I440" s="268">
        <f>H443</f>
        <v>20433.2991</v>
      </c>
      <c r="J440" s="268">
        <f t="shared" ref="J440:M440" ca="1" si="193">I443</f>
        <v>28590.190782832888</v>
      </c>
      <c r="K440" s="268">
        <f t="shared" ca="1" si="193"/>
        <v>36390.36374699969</v>
      </c>
      <c r="L440" s="268">
        <f t="shared" ca="1" si="193"/>
        <v>44200.527039040462</v>
      </c>
      <c r="M440" s="268">
        <f t="shared" ca="1" si="193"/>
        <v>51960.884180744186</v>
      </c>
    </row>
    <row r="441" spans="1:13" ht="15" outlineLevel="1" x14ac:dyDescent="0.2">
      <c r="A441" s="1"/>
      <c r="B441" s="87" t="s">
        <v>59</v>
      </c>
      <c r="C441" s="9"/>
      <c r="D441" s="14"/>
      <c r="E441" s="14"/>
      <c r="F441" s="14"/>
      <c r="G441" s="14"/>
      <c r="H441" s="152"/>
      <c r="I441" s="268">
        <f ca="1">I431</f>
        <v>10196.114603541107</v>
      </c>
      <c r="J441" s="268">
        <f t="shared" ref="J441:M441" ca="1" si="194">J431</f>
        <v>9750.2162052085041</v>
      </c>
      <c r="K441" s="268">
        <f t="shared" ca="1" si="194"/>
        <v>9762.7041150509685</v>
      </c>
      <c r="L441" s="268">
        <f t="shared" ca="1" si="194"/>
        <v>9700.4464271296529</v>
      </c>
      <c r="M441" s="268">
        <f t="shared" ca="1" si="194"/>
        <v>9358.5487881184326</v>
      </c>
    </row>
    <row r="442" spans="1:13" ht="15" outlineLevel="1" x14ac:dyDescent="0.2">
      <c r="A442" s="1"/>
      <c r="B442" s="87" t="s">
        <v>72</v>
      </c>
      <c r="C442" s="9"/>
      <c r="D442" s="14"/>
      <c r="E442" s="14"/>
      <c r="F442" s="14"/>
      <c r="G442" s="14"/>
      <c r="H442" s="265"/>
      <c r="I442" s="269">
        <f ca="1">I433*-1</f>
        <v>-2039.2229207082216</v>
      </c>
      <c r="J442" s="269">
        <f t="shared" ref="J442:M442" ca="1" si="195">J433*-1</f>
        <v>-1950.0432410417009</v>
      </c>
      <c r="K442" s="269">
        <f t="shared" ca="1" si="195"/>
        <v>-1952.5408230101939</v>
      </c>
      <c r="L442" s="269">
        <f t="shared" ca="1" si="195"/>
        <v>-1940.0892854259307</v>
      </c>
      <c r="M442" s="269">
        <f ca="1">M433*-1</f>
        <v>-1871.7097576236865</v>
      </c>
    </row>
    <row r="443" spans="1:13" ht="15" outlineLevel="1" x14ac:dyDescent="0.2">
      <c r="A443" s="1"/>
      <c r="B443" s="87" t="s">
        <v>163</v>
      </c>
      <c r="C443" s="9"/>
      <c r="D443" s="14"/>
      <c r="E443" s="14"/>
      <c r="F443" s="14"/>
      <c r="G443" s="14"/>
      <c r="H443" s="268">
        <f>H107</f>
        <v>20433.2991</v>
      </c>
      <c r="I443" s="268">
        <f ca="1">SUM(I440:I442)</f>
        <v>28590.190782832888</v>
      </c>
      <c r="J443" s="268">
        <f t="shared" ref="J443:M443" ca="1" si="196">SUM(J440:J442)</f>
        <v>36390.36374699969</v>
      </c>
      <c r="K443" s="268">
        <f t="shared" ca="1" si="196"/>
        <v>44200.527039040462</v>
      </c>
      <c r="L443" s="268">
        <f t="shared" ca="1" si="196"/>
        <v>51960.884180744186</v>
      </c>
      <c r="M443" s="268">
        <f t="shared" ca="1" si="196"/>
        <v>59447.723211238932</v>
      </c>
    </row>
    <row r="444" spans="1:13" ht="15" outlineLevel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20" outlineLevel="1" x14ac:dyDescent="0.2">
      <c r="A445" s="101"/>
      <c r="B445" s="243"/>
      <c r="C445" s="155"/>
      <c r="D445" s="157"/>
      <c r="E445" s="157"/>
      <c r="F445" s="157"/>
      <c r="G445" s="157"/>
      <c r="H445" s="157"/>
      <c r="I445" s="244"/>
      <c r="J445" s="244"/>
      <c r="K445" s="244"/>
      <c r="L445" s="244"/>
      <c r="M445" s="244"/>
    </row>
    <row r="446" spans="1:13" ht="1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Output</vt:lpstr>
      <vt:lpstr>Inputs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C</dc:creator>
  <cp:lastModifiedBy>Priyam C</cp:lastModifiedBy>
  <dcterms:created xsi:type="dcterms:W3CDTF">2025-12-23T18:55:17Z</dcterms:created>
  <dcterms:modified xsi:type="dcterms:W3CDTF">2025-12-24T15:23:26Z</dcterms:modified>
</cp:coreProperties>
</file>